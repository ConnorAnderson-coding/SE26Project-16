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320"/>
  </bookViews>
  <sheets>
    <sheet name="Information" sheetId="7" r:id="rId1"/>
    <sheet name="Test Cases" sheetId="8" r:id="rId2"/>
    <sheet name="常用测试方法" sheetId="3" r:id="rId3"/>
  </sheets>
  <definedNames>
    <definedName name="安装测试用例常用测试项">常用测试方法!#REF!</definedName>
    <definedName name="单元测试用例常用测试项">常用测试方法!#REF!</definedName>
    <definedName name="功能测试用例常用测试项">常用测试方法!#REF!</definedName>
    <definedName name="界面测试用例常用测试项">常用测试方法!#REF!</definedName>
    <definedName name="压力测试用例常用测试项">常用测试方法!#REF!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<sst xmlns="http://schemas.openxmlformats.org/spreadsheetml/2006/main" count="708" uniqueCount="453">
  <si>
    <t>Shanghai Jiao Tong University
上海交通大学 
上海市闵行区东川路800号</t>
  </si>
  <si>
    <t>项目名称
Project Name</t>
  </si>
  <si>
    <t>密级
Confidentiality Level</t>
  </si>
  <si>
    <t>校园生活一站式服务平台</t>
  </si>
  <si>
    <t>仅供收件方查阅</t>
  </si>
  <si>
    <t>项目编号
Project ID</t>
  </si>
  <si>
    <t>版本
version</t>
  </si>
  <si>
    <r>
      <rPr>
        <sz val="12"/>
        <rFont val="宋体"/>
        <charset val="134"/>
      </rPr>
      <t xml:space="preserve">文档编号
</t>
    </r>
    <r>
      <rPr>
        <sz val="12"/>
        <rFont val="Times New Roman"/>
        <charset val="134"/>
      </rPr>
      <t>Document Code</t>
    </r>
  </si>
  <si>
    <t>A3</t>
  </si>
  <si>
    <t>1.0</t>
  </si>
  <si>
    <t>Project ID_PI_001</t>
  </si>
  <si>
    <t>校园生活一站式服务平台 System Test Case Form
校园生活一站式服务平台 系统测试用例</t>
  </si>
  <si>
    <r>
      <rPr>
        <sz val="12"/>
        <rFont val="Times New Roman"/>
        <charset val="134"/>
      </rPr>
      <t xml:space="preserve">Prepared by 
</t>
    </r>
    <r>
      <rPr>
        <sz val="12"/>
        <rFont val="宋体"/>
        <charset val="134"/>
      </rPr>
      <t>拟制</t>
    </r>
  </si>
  <si>
    <t>许驰声 杨云鹏 邓默 刘羿凡 李博琛</t>
  </si>
  <si>
    <r>
      <rPr>
        <sz val="12"/>
        <rFont val="Times New Roman"/>
        <charset val="134"/>
      </rPr>
      <t xml:space="preserve">Date
</t>
    </r>
    <r>
      <rPr>
        <sz val="12"/>
        <rFont val="宋体"/>
        <charset val="134"/>
      </rPr>
      <t>日期</t>
    </r>
  </si>
  <si>
    <r>
      <rPr>
        <sz val="12"/>
        <rFont val="Times New Roman"/>
        <charset val="134"/>
      </rPr>
      <t xml:space="preserve">Reviewed by 
</t>
    </r>
    <r>
      <rPr>
        <sz val="12"/>
        <rFont val="宋体"/>
        <charset val="134"/>
      </rPr>
      <t>评审人</t>
    </r>
  </si>
  <si>
    <t>yyyy-mm-dd</t>
  </si>
  <si>
    <r>
      <rPr>
        <sz val="12"/>
        <rFont val="Times New Roman"/>
        <charset val="134"/>
      </rPr>
      <t xml:space="preserve">Approved by
</t>
    </r>
    <r>
      <rPr>
        <sz val="12"/>
        <rFont val="宋体"/>
        <charset val="134"/>
      </rPr>
      <t>批准</t>
    </r>
  </si>
  <si>
    <r>
      <rPr>
        <sz val="12"/>
        <rFont val="Times New Roman"/>
        <charset val="134"/>
      </rPr>
      <t xml:space="preserve">Revision Record </t>
    </r>
    <r>
      <rPr>
        <sz val="12"/>
        <rFont val="宋体"/>
        <charset val="134"/>
      </rPr>
      <t>修订记录</t>
    </r>
  </si>
  <si>
    <r>
      <rPr>
        <sz val="12"/>
        <rFont val="Times New Roman"/>
        <charset val="134"/>
      </rPr>
      <t xml:space="preserve">Date
 </t>
    </r>
    <r>
      <rPr>
        <sz val="12"/>
        <rFont val="宋体"/>
        <charset val="134"/>
      </rPr>
      <t>日期</t>
    </r>
    <r>
      <rPr>
        <sz val="12"/>
        <rFont val="Times New Roman"/>
        <charset val="134"/>
      </rPr>
      <t xml:space="preserve"> </t>
    </r>
  </si>
  <si>
    <r>
      <rPr>
        <sz val="12"/>
        <rFont val="Times New Roman"/>
        <charset val="134"/>
      </rPr>
      <t xml:space="preserve">Revision Version </t>
    </r>
    <r>
      <rPr>
        <sz val="12"/>
        <rFont val="宋体"/>
        <charset val="134"/>
      </rPr>
      <t>修订</t>
    </r>
    <r>
      <rPr>
        <sz val="12"/>
        <rFont val="Times New Roman"/>
        <charset val="134"/>
      </rPr>
      <t xml:space="preserve"> </t>
    </r>
    <r>
      <rPr>
        <sz val="12"/>
        <rFont val="宋体"/>
        <charset val="134"/>
      </rPr>
      <t>版本</t>
    </r>
  </si>
  <si>
    <r>
      <rPr>
        <sz val="12"/>
        <rFont val="Times New Roman"/>
        <charset val="134"/>
      </rPr>
      <t xml:space="preserve">Change Description
 </t>
    </r>
    <r>
      <rPr>
        <sz val="12"/>
        <rFont val="宋体"/>
        <charset val="134"/>
      </rPr>
      <t>修改描述</t>
    </r>
  </si>
  <si>
    <r>
      <rPr>
        <sz val="12"/>
        <rFont val="Times New Roman"/>
        <charset val="134"/>
      </rPr>
      <t xml:space="preserve">Author
 </t>
    </r>
    <r>
      <rPr>
        <sz val="12"/>
        <rFont val="宋体"/>
        <charset val="134"/>
      </rPr>
      <t>作者</t>
    </r>
  </si>
  <si>
    <t>1.00</t>
  </si>
  <si>
    <t>初稿完成</t>
  </si>
  <si>
    <r>
      <rPr>
        <sz val="12"/>
        <color rgb="FF3366FF"/>
        <rFont val="宋体-简"/>
        <charset val="134"/>
      </rPr>
      <t>许驰声</t>
    </r>
    <r>
      <rPr>
        <sz val="12"/>
        <color rgb="FF3366FF"/>
        <rFont val="Times New Roman"/>
        <charset val="134"/>
      </rPr>
      <t xml:space="preserve"> </t>
    </r>
    <r>
      <rPr>
        <sz val="12"/>
        <color rgb="FF3366FF"/>
        <rFont val="宋体-简"/>
        <charset val="134"/>
      </rPr>
      <t>杨云鹏</t>
    </r>
    <r>
      <rPr>
        <sz val="12"/>
        <color rgb="FF3366FF"/>
        <rFont val="Times New Roman"/>
        <charset val="134"/>
      </rPr>
      <t xml:space="preserve"> </t>
    </r>
    <r>
      <rPr>
        <sz val="12"/>
        <color rgb="FF3366FF"/>
        <rFont val="宋体-简"/>
        <charset val="134"/>
      </rPr>
      <t>邓默</t>
    </r>
    <r>
      <rPr>
        <sz val="12"/>
        <color rgb="FF3366FF"/>
        <rFont val="Times New Roman"/>
        <charset val="134"/>
      </rPr>
      <t xml:space="preserve"> </t>
    </r>
    <r>
      <rPr>
        <sz val="12"/>
        <color rgb="FF3366FF"/>
        <rFont val="宋体-简"/>
        <charset val="134"/>
      </rPr>
      <t>刘羿凡</t>
    </r>
    <r>
      <rPr>
        <sz val="12"/>
        <color rgb="FF3366FF"/>
        <rFont val="Times New Roman"/>
        <charset val="134"/>
      </rPr>
      <t xml:space="preserve"> </t>
    </r>
    <r>
      <rPr>
        <sz val="12"/>
        <color rgb="FF3366FF"/>
        <rFont val="宋体-简"/>
        <charset val="134"/>
      </rPr>
      <t>李博琛</t>
    </r>
  </si>
  <si>
    <t>测试结果分析</t>
  </si>
  <si>
    <t>类别</t>
  </si>
  <si>
    <t>用例数</t>
  </si>
  <si>
    <t>通过数</t>
  </si>
  <si>
    <t>通过率</t>
  </si>
  <si>
    <t>功能测试</t>
  </si>
  <si>
    <t>性能测试</t>
  </si>
  <si>
    <t>可靠性测试</t>
  </si>
  <si>
    <t>安全性测试</t>
  </si>
  <si>
    <t>兼容性测试</t>
  </si>
  <si>
    <t>易用性测试</t>
  </si>
  <si>
    <t>部署测试</t>
  </si>
  <si>
    <t>合计</t>
  </si>
  <si>
    <t>测试用例详情</t>
  </si>
  <si>
    <t>文档帮助</t>
  </si>
  <si>
    <t xml:space="preserve">测试用例 </t>
  </si>
  <si>
    <t>Test Case ID
 测试用例编号</t>
  </si>
  <si>
    <t>Test Item 
测试项</t>
  </si>
  <si>
    <t>Test Type
测试类型</t>
  </si>
  <si>
    <t>Test Case Title 
测试用例标题</t>
  </si>
  <si>
    <t>Test Criticality
测试优先级</t>
  </si>
  <si>
    <t>Pre-condition
 预置条件</t>
  </si>
  <si>
    <t>Input &amp; Procedure 
输入与操作</t>
  </si>
  <si>
    <t>Expected Output
 预期结果</t>
  </si>
  <si>
    <t>Result
实际结果</t>
  </si>
  <si>
    <t>Status
是否通过</t>
  </si>
  <si>
    <t>BUG Severity
错误严重等级</t>
  </si>
  <si>
    <t>Remark
 备注</t>
  </si>
  <si>
    <t>TC-001</t>
  </si>
  <si>
    <t>用户注册</t>
  </si>
  <si>
    <t>师生用户使用有效信息注册成功</t>
  </si>
  <si>
    <t>高</t>
  </si>
  <si>
    <t>系统前后端服务已启动；数据库连接正常；当前浏览器未登录。</t>
  </si>
  <si>
    <t>1. 打开登录/注册页面。
2. 进入注册表单。
3. 输入学号/工号、姓名、密码、学院、年级等必填信息。
4. 点击注册按钮。</t>
  </si>
  <si>
    <t>注册请求成功；系统返回登录态和用户信息；页面进入已登录状态；个人中心可查看新用户资料。</t>
  </si>
  <si>
    <t>Y</t>
  </si>
  <si>
    <t>建议工具：Chrome/Edge 浏览器</t>
  </si>
  <si>
    <t>TC-002</t>
  </si>
  <si>
    <t>用户登录</t>
  </si>
  <si>
    <t>本地账号密码登录成功</t>
  </si>
  <si>
    <t>已存在有效用户账号；后端 JWT 配置正常。</t>
  </si>
  <si>
    <t>1. 打开登录页面。
2. 输入正确的学号/工号和密码。
3. 点击登录按钮。</t>
  </si>
  <si>
    <t>登录成功；前端保存 token 和用户信息；后续访问个人中心、报名、收藏等受保护页面不再跳转登录页。</t>
  </si>
  <si>
    <t>TC-003</t>
  </si>
  <si>
    <t>错误密码登录失败并提示</t>
  </si>
  <si>
    <t>中</t>
  </si>
  <si>
    <t>已存在有效用户账号。</t>
  </si>
  <si>
    <t>1. 打开登录页面。
2. 输入正确账号和错误密码。
3. 点击登录按钮。</t>
  </si>
  <si>
    <t>登录失败；页面展示“学号/工号或密码错误”等明确提示；本地不保存有效 token。</t>
  </si>
  <si>
    <t>TC-004</t>
  </si>
  <si>
    <t>jAccount单点登录</t>
  </si>
  <si>
    <t>上海交通大学 jAccount 单点登录成功</t>
  </si>
  <si>
    <t>后端已配置 JACCOUNT_CLIENT_ID、JACCOUNT_CLIENT_SECRET、回调地址；测试账号具备授权权限。</t>
  </si>
  <si>
    <t>1. 打开登录页面。
2. 点击 jAccount 登录入口。
3. 在 jAccount 页面完成授权。
4. 等待回调返回前端。</t>
  </si>
  <si>
    <t>系统成功获取 jAccount profile；匹配或创建本地用户；前端完成登录并展示当前用户信息。</t>
  </si>
  <si>
    <t>建议工具：Chrome 浏览器；需真实 jAccount 测试环境</t>
  </si>
  <si>
    <t>TC-005</t>
  </si>
  <si>
    <t>个人资料</t>
  </si>
  <si>
    <t>维护学院年级、兴趣标签和可参与时间</t>
  </si>
  <si>
    <t>用户已登录。</t>
  </si>
  <si>
    <t>1. 进入个人中心。
2. 修改姓名、学院、年级、兴趣标签、可参与时间。
3. 点击保存。
4. 刷新页面后再次进入个人中心。</t>
  </si>
  <si>
    <t>保存成功；刷新后显示修改后的资料；兴趣标签和可参与时间以列表形式正确展示。</t>
  </si>
  <si>
    <t>TC-006</t>
  </si>
  <si>
    <t>活动策划</t>
  </si>
  <si>
    <t>组织者发布活动并配置地图签到地点</t>
  </si>
  <si>
    <t>用户已登录；前端可访问活动发布页面；已配置高德地图 Key。</t>
  </si>
  <si>
    <t>1. 进入发布活动页面。
2. 填写活动名称、类别、内容、起止时间、地点、海报、人数上限、标签。
3. 在地图中点击活动地点。
4. 点击发布活动。</t>
  </si>
  <si>
    <t>活动发布成功；活动详情展示基本信息；后端保存经纬度和签到半径；活动状态为 published。</t>
  </si>
  <si>
    <t>建议工具：Chrome 浏览器</t>
  </si>
  <si>
    <t>TC-007</t>
  </si>
  <si>
    <t>组织者编辑已发布活动</t>
  </si>
  <si>
    <t>用户已登录且为该活动组织者；系统中已存在该用户发布的活动。</t>
  </si>
  <si>
    <t>1. 进入我的组织活动或组织者工作台。
2. 选择一个活动并进入编辑页面。
3. 修改活动时间、地点、人数上限或签到半径。
4. 保存修改并重新打开活动详情。</t>
  </si>
  <si>
    <t>活动更新成功；活动详情展示最新信息；非组织者不能编辑该活动。</t>
  </si>
  <si>
    <t>TC-008</t>
  </si>
  <si>
    <t>活动浏览筛选</t>
  </si>
  <si>
    <t>按类别、地点、状态和关键词筛选活动</t>
  </si>
  <si>
    <t>数据库中存在多条不同类别、地点和状态的活动。</t>
  </si>
  <si>
    <t>1. 打开活动列表页面。
2. 依次选择类别、地点、状态筛选条件。
3. 输入关键词进行搜索。
4. 清空条件后重新加载列表。</t>
  </si>
  <si>
    <t>列表仅展示符合筛选条件的活动；关键词可匹配活动标题、描述或地点；清空条件后恢复默认列表。</t>
  </si>
  <si>
    <t>TC-009</t>
  </si>
  <si>
    <t>活动详情</t>
  </si>
  <si>
    <t>查看活动详情并记录浏览行为</t>
  </si>
  <si>
    <t>用户已登录；系统中存在已发布活动。</t>
  </si>
  <si>
    <t>1. 从活动列表点击某个活动。
2. 查看活动标题、时间、地点、组织者、报名人数、收藏数、标签和活动记录。
3. 返回后再次打开同一活动。</t>
  </si>
  <si>
    <t>活动详情信息完整展示；系统记录用户浏览行为；重复浏览不会造成页面异常。</t>
  </si>
  <si>
    <t>TC-010</t>
  </si>
  <si>
    <t>活动推荐</t>
  </si>
  <si>
    <t>根据用户兴趣获取推荐活动</t>
  </si>
  <si>
    <t>用户已登录并配置兴趣标签；系统中存在带匹配标签的已发布活动。</t>
  </si>
  <si>
    <t>1. 进入首页或推荐活动区域。
2. 查看系统推荐活动列表。
3. 对比推荐活动标签与用户兴趣。</t>
  </si>
  <si>
    <t>系统返回推荐活动；推荐活动与用户兴趣、热度等因素相关；已报名活动不应重复作为主要推荐项。</t>
  </si>
  <si>
    <t>TC-011</t>
  </si>
  <si>
    <t>语义检索</t>
  </si>
  <si>
    <t>活动语义检索返回相关结果</t>
  </si>
  <si>
    <t>后端已启用 app.elasticsearch.enabled；Elasticsearch 索引已建立；存在相关活动数据。</t>
  </si>
  <si>
    <t>1. 打开活动搜索页面或调用搜索接口。
2. 输入语义关键词，例如“人工智能讲座”或“运动比赛”。
3. 选择 hybrid 检索模式并提交查询。</t>
  </si>
  <si>
    <t>系统返回相关活动列表；结果按相关性或指定排序展示；无匹配结果时给出空结果提示而非报错。</t>
  </si>
  <si>
    <t>建议工具：Chrome 浏览器 / Apifox</t>
  </si>
  <si>
    <t>TC-012</t>
  </si>
  <si>
    <t>活动收藏</t>
  </si>
  <si>
    <t>用户收藏与取消收藏活动</t>
  </si>
  <si>
    <t>1. 进入活动详情页。
2. 点击收藏按钮。
3. 进入我的收藏页面查看。
4. 再次点击取消收藏。</t>
  </si>
  <si>
    <t>第一次点击后收藏成功，活动收藏数增加；我的收藏中出现该活动；取消后收藏关系删除，收藏状态正确更新。</t>
  </si>
  <si>
    <t>TC-013</t>
  </si>
  <si>
    <t>活动报名</t>
  </si>
  <si>
    <t>学生报名已发布活动</t>
  </si>
  <si>
    <t>学生用户已登录；活动状态为 published；活动未满员。</t>
  </si>
  <si>
    <t>1. 进入活动详情页。
2. 点击报名按钮。
3. 进入我的活动或报名状态页面查看状态。</t>
  </si>
  <si>
    <t>报名提交成功；报名状态为 pending；活动报名人数增加；重复报名时系统提示已报名。</t>
  </si>
  <si>
    <t>TC-014</t>
  </si>
  <si>
    <t>报名审核</t>
  </si>
  <si>
    <t>组织者审核报名通过或拒绝</t>
  </si>
  <si>
    <t>组织者已登录；其活动存在待审核报名记录。</t>
  </si>
  <si>
    <t>1. 进入报名管理页面。
2. 选择一个待审核报名。
3. 点击通过。
4. 选择另一个待审核报名并点击拒绝。
5. 学生端查看报名状态。</t>
  </si>
  <si>
    <t>报名状态分别更新为 approved 和 rejected；学生端状态同步变化；非活动组织者无权审核。</t>
  </si>
  <si>
    <t>TC-015</t>
  </si>
  <si>
    <t>二维码签到</t>
  </si>
  <si>
    <t>审核通过用户使用二维码签到成功</t>
  </si>
  <si>
    <t>活动在签到时间窗口内；学生报名已 approved；组织者已打开签到页面。</t>
  </si>
  <si>
    <t>1. 组织者进入签到页面并生成二维码。
2. 学生扫码或粘贴 CHECKIN 内容。
3. 学生提交二维码签到。
4. 组织者查看签到统计。</t>
  </si>
  <si>
    <t>学生签到成功；生成一条 qrcode 签到记录；签到人数增加；二维码 token 使用后失效。</t>
  </si>
  <si>
    <t>TC-016</t>
  </si>
  <si>
    <t>过期或重复使用二维码 token 签到失败</t>
  </si>
  <si>
    <t>活动在签到时间窗口内；学生报名已 approved；组织者已生成二维码 token。</t>
  </si>
  <si>
    <t>1. 学生使用二维码 token 完成一次签到。
2. 再次使用同一个 token 提交签到。
3. 等待新 token 超过有效期后再次提交。</t>
  </si>
  <si>
    <t>首次签到成功；重复使用或过期 token 签到失败；系统提示二维码已过期或无效；签到人数不重复增加。</t>
  </si>
  <si>
    <t>建议工具：Apifox / Postman</t>
  </si>
  <si>
    <t>TC-017</t>
  </si>
  <si>
    <t>定位签到</t>
  </si>
  <si>
    <t>用户在活动签到半径内定位签到成功</t>
  </si>
  <si>
    <t>活动配置了签到经纬度和半径；学生报名已 approved；浏览器允许定位。</t>
  </si>
  <si>
    <t>1. 学生打开活动签到页面。
2. 选择定位签到。
3. 授权浏览器获取当前位置。
4. 提交定位签到。</t>
  </si>
  <si>
    <t>后端计算用户位置与活动地点距离；距离小于等于签到半径时签到成功；签到记录包含 location 方法、坐标和距离。</t>
  </si>
  <si>
    <t>建议工具：Chrome 浏览器；可用 DevTools 模拟定位</t>
  </si>
  <si>
    <t>TC-018</t>
  </si>
  <si>
    <t>用户在签到范围外定位签到失败</t>
  </si>
  <si>
    <t>活动配置了签到经纬度和半径；学生报名已 approved。</t>
  </si>
  <si>
    <t>1. 使用浏览器定位模拟或接口工具提交远离活动地点的经纬度。
2. 调用定位签到。
3. 查看返回结果和签到统计。</t>
  </si>
  <si>
    <t>系统拒绝签到并提示当前位置不在签到范围内；不生成签到记录；签到人数不增加。</t>
  </si>
  <si>
    <t>建议工具：Chrome DevTools / Apifox</t>
  </si>
  <si>
    <t>TC-019</t>
  </si>
  <si>
    <t>动态口令签到</t>
  </si>
  <si>
    <t>审核通过用户使用动态口令签到成功</t>
  </si>
  <si>
    <t>活动在签到时间窗口内；学生报名已 approved；组织者已进入签到页面。</t>
  </si>
  <si>
    <t>1. 组织者生成 6 位动态口令。
2. 学生输入当前动态口令。
3. 点击口令签到。
4. 查看我的签到和组织者统计。</t>
  </si>
  <si>
    <t>口令校验成功；生成 password 签到记录；学生端显示已签到；组织者统计同步更新。</t>
  </si>
  <si>
    <t>TC-020</t>
  </si>
  <si>
    <t>错误动态口令签到失败</t>
  </si>
  <si>
    <t>活动在签到时间窗口内；学生报名已 approved；存在当前动态口令。</t>
  </si>
  <si>
    <t>1. 学生输入非 6 位数字或错误的 6 位数字。
2. 点击口令签到。
3. 查看签到统计。</t>
  </si>
  <si>
    <t>前端或后端提示动态口令格式错误或口令错误；不生成签到记录；签到统计不变化。</t>
  </si>
  <si>
    <t>TC-021</t>
  </si>
  <si>
    <t>签到统计</t>
  </si>
  <si>
    <t>组织者查看签到人数、未签到人数和签到率</t>
  </si>
  <si>
    <t>组织者已登录；活动存在 approved 报名用户；部分用户已完成签到。</t>
  </si>
  <si>
    <t>1. 组织者进入活动签到页面。
2. 查询签到统计。
3. 查看签到明细列表。</t>
  </si>
  <si>
    <t>系统展示registeredCount,checkedInCount,uncheckedCount,checkInRate；明细包含用户、签到时间和签到方式。</t>
  </si>
  <si>
    <t>TC-022</t>
  </si>
  <si>
    <t>活动记录</t>
  </si>
  <si>
    <t>组织者发布活动总结和照片</t>
  </si>
  <si>
    <t>组织者已登录；存在由该组织者创建的活动。</t>
  </si>
  <si>
    <t>1. 进入活动记录发布页面。
2. 输入活动总结。
3. 上传或填写照片信息。
4. 点击发布。
5. 打开活动详情查看记录。</t>
  </si>
  <si>
    <t>活动记录发布成功；活动详情显示总结、照片和发布时间；非组织者不能发布该活动记录。</t>
  </si>
  <si>
    <t>TC-023</t>
  </si>
  <si>
    <t>活动反馈</t>
  </si>
  <si>
    <t>参与者提交活动评分与反馈</t>
  </si>
  <si>
    <t>用户已登录；用户参与过或可访问目标活动；活动允许反馈。</t>
  </si>
  <si>
    <t>1. 进入反馈页面或活动反馈入口。
2. 选择活动。
3. 输入评分和反馈内容。
4. 提交反馈。
5. 查看我的反馈或活动反馈列表。</t>
  </si>
  <si>
    <t>反馈提交成功；评分和内容被保存；反馈列表能展示用户、评分、内容和时间。</t>
  </si>
  <si>
    <t>TC-024</t>
  </si>
  <si>
    <t>活动分析</t>
  </si>
  <si>
    <t>组织者查看报名转化率、到场率和改进建议</t>
  </si>
  <si>
    <t>组织者已登录；活动已有浏览、报名、签到、反馈数据；分析模块配置正常。</t>
  </si>
  <si>
    <t>1. 进入组织者活动分析页面。
2. 选择目标活动。
3. 查看指标和建议。
4. 如启用手动触发，触发分析生成后再次查询。</t>
  </si>
  <si>
    <t>系统展示报名转化率、到场率、平均评分、评分分布、签到方式统计；若已有分析结果则展示改进建议和生成状态。</t>
  </si>
  <si>
    <t>TC-025</t>
  </si>
  <si>
    <t>社区聚类</t>
  </si>
  <si>
    <t>查看用户社区聚类可视化结果</t>
  </si>
  <si>
    <t>系统中存在用户资料、行为日志或活动参与数据；社区聚类页面可访问。</t>
  </si>
  <si>
    <t>1. 登录系统。
2. 进入社区聚类页面。
3. 查看用户社区分组、标签或可视化图表。
4. 切换不同社区或筛选条件。</t>
  </si>
  <si>
    <t>页面正常展示社区聚类结果；不同社区可区分显示；切换筛选条件后图表或列表同步更新。</t>
  </si>
  <si>
    <t>TC-026</t>
  </si>
  <si>
    <t>搜索索引管理</t>
  </si>
  <si>
    <t>管理员重建活动搜索索引并查看索引状态</t>
  </si>
  <si>
    <t>低</t>
  </si>
  <si>
    <t>管理员已登录；后端启用 Elasticsearch；搜索索引服务正常。</t>
  </si>
  <si>
    <t>1. 使用管理员身份调用搜索索引重建接口。
2. 等待重建完成。
3. 查询索引统计接口。
4. 使用关键词搜索活动验证结果。</t>
  </si>
  <si>
    <t>索引重建接口返回成功；索引统计显示活动文档数量；搜索接口可返回已索引活动。</t>
  </si>
  <si>
    <t>TC-027</t>
  </si>
  <si>
    <t>权限控制</t>
  </si>
  <si>
    <t>未授权用户不能操作他人活动和受保护资源</t>
  </si>
  <si>
    <t>系统中存在两个不同用户及其中一人创建的活动。</t>
  </si>
  <si>
    <t>1. 未登录访问个人中心或报名接口。
2. 用户 A 尝试编辑用户 B 创建的活动。
3. 用户 A 尝试审核用户 B 活动的报名。
4. 用户 A 尝试查看用户 B 活动分析。</t>
  </si>
  <si>
    <t>未登录请求被拒绝；越权操作返回无权访问提示；活动数据不被修改；系统不泄露敏感信息。</t>
  </si>
  <si>
    <t>TC-028</t>
  </si>
  <si>
    <t>易理解性测试</t>
  </si>
  <si>
    <t>首页功能布局与入口可理解性测试</t>
  </si>
  <si>
    <t>系统已部署并正常运行；测试人员具备基本校园活动参与者背景，但不了解该系统</t>
  </si>
  <si>
    <t>1. 打开系统首页（不登录），观察页面布局和功能入口分布；2. 回答以下问题：页面顶部有哪些功能入口？分别可能用于什么？活动卡片展示了哪些信息？右上角登录/注册功能是否明确？热门活动与全部活动的区分是否清晰？；3. 不借助任何帮助文档，说出该平台的三个核心用途</t>
  </si>
  <si>
    <t>用户能准确识别"活动浏览"、"活动搜索"、"登录注册"三个主要功能入口；用户能理解活动卡片包含标题、时间、地点、报名人数等关键信息；用户能正确说出平台的至少三个核心用途（浏览活动、报名活动、发布活动）；无需外部说明即可理解各功能区块的用途</t>
  </si>
  <si>
    <t>TC-029</t>
  </si>
  <si>
    <t>易学性测试</t>
  </si>
  <si>
    <t>新用户首次完成活动发布的学习成本测试</t>
  </si>
  <si>
    <t>系统已部署并正常运行；测试对象为未接触过该系统且不是项目组成员的同学；测试对象已拥有组织者权限账号</t>
  </si>
  <si>
    <t>1. 向测试对象提供系统访问地址和登录账号，不提供任何操作指导或说明文档；2. 观察测试对象从登录到成功发布一个活动的全过程；3. 记录：完成发布所需总时间；操作过程中出现的犹豫/停顿次数（超过5秒未操作）；是否寻求帮助；发布表单中哪些字段被跳过或填写错误；4. 发布完成后让测试对象用1-5分评价操作难度（1=非常困难，5=非常简单）</t>
  </si>
  <si>
    <t>测试对象在5分钟内独立完成活动发布；操作过程中无明显困惑（停顿次数≤3次）；无需额外帮助或指导；填写难度评分≥4分；表单必填字段无遗漏或明显填写错误</t>
  </si>
  <si>
    <t>TC-030</t>
  </si>
  <si>
    <t>易操作性测试</t>
  </si>
  <si>
    <t>活动报名流程的可控制性与操作效率测试</t>
  </si>
  <si>
    <t>系统中存在至少3个已发布且报名状态为"待审核"或"开放中"的活动；测试用户已登录</t>
  </si>
  <si>
    <t>1. 用户进入活动列表页面；2. 点击任意活动卡片进入详情页；3. 点击"报名"按钮提交报名申请；4. 观察页面反馈（提示信息、按钮状态变化）；5. 进入"个人中心"→"我的报名"，查看报名记录；6. 尝试点击"取消报名"按钮（若允许）；7. 评估整个流程中需要点击的次数和页面跳转数量</t>
  </si>
  <si>
    <t>从活动列表到完成报名，总点击次数≤4次；每个操作步骤均有明确的状态反馈（如"报名成功"、"待审核"状态标识）；报名按钮状态合理变化（报名后变为"已报名"或"待审核"）；用户能清晰知道当前所处位置和下一步可执行的操作；取消报名操作执行后，报名状态正确更新</t>
  </si>
  <si>
    <t>TC-031</t>
  </si>
  <si>
    <t>吸引性测试</t>
  </si>
  <si>
    <t>活动卡片视觉设计与信息层次吸引性测试</t>
  </si>
  <si>
    <t>系统首页已加载完成；首页展示至少10个不同类别的活动</t>
  </si>
  <si>
    <t>1. 打开系统首页，观察活动列表展示形式；2. 要求测试用户回答：哪些活动最吸引你点击？为什么？活动卡片中首先看到的信息是什么？页面整体配色和排版是否舒适？是否愿意继续探索更多活动？；3. 记录用户视线在页面上的停留区域；4. 让用户从活动列表中选择3个"最想点击查看"的活动</t>
  </si>
  <si>
    <t>用户能在10秒内识别出最感兴趣的活动；活动卡片的信息层次清晰（标题突出、时间/地点辅助）；至少80%的测试用户表示"愿意继续浏览"；页面视觉风格统一、色彩搭配协调，符合校园活动平台的定位；用户选出的"最想点击"活动涵盖至少2种不同活动类别</t>
  </si>
  <si>
    <t>TC-032</t>
  </si>
  <si>
    <t>易用依从性测试</t>
  </si>
  <si>
    <t>平台界面一致性遵循通用设计规范测试</t>
  </si>
  <si>
    <t>系统所有页面均可正常访问；测试人员具备基本UI/UX设计常识</t>
  </si>
  <si>
    <t>1. 依次访问：首页、活动列表、活动详情、活动发布页、个人中心、登录页；2. 检查：顶部导航栏在各页面中位置和样式是否一致；按钮样式是否统一；字体/字号/颜色体系是否一致；表单控件风格是否统一；页面标题与面包屑导航是否清晰展示当前位置；3. 检查：所有可交互元素是否有悬停/聚焦状态反馈；表单提交前是否有字段校验和错误提示；页面加载是否有加载状态指示；4. 对照Web可访问性要求：关键操作按钮是否有明确文本标签；图片和图标是否有替代文本（alt属性）</t>
  </si>
  <si>
    <t>各页面导航栏、按钮、字体、颜色体系完全一致；所有可交互元素均有可见的焦点/悬停反馈；表单校验错误提示清晰、友好、定位准确；页面加载或数据提交时有明确的加载状态反馈；核心操作流程中无仅图标无文字标签的按钮；不存在容易误触的操作元素；页面标题与面包屑导航能准确反映用户当前位置</t>
  </si>
  <si>
    <t>TC-033</t>
  </si>
  <si>
    <t>测试注册正常数据是否成功</t>
  </si>
  <si>
    <t>可以正常在浏览器中访问首页</t>
  </si>
  <si>
    <t>1.输入用户名"xiaoming",姓名:"小明", 密码:"123456", 重复密码:"123456", 邮箱:"xiaoming@163.com"
2.点击注册按钮</t>
  </si>
  <si>
    <t>用户注册成功</t>
  </si>
  <si>
    <t>OK</t>
  </si>
  <si>
    <t>TC-034</t>
  </si>
  <si>
    <t>测试注册非法数据是否成功</t>
  </si>
  <si>
    <t>1.输入用户名"xiaoming",姓名:"小明",密码:"123456"，重复密码:"654321",邮箱:"xiaoming163.com"
2.点击注册按钮</t>
  </si>
  <si>
    <t>提示2次密码不一致，邮箱格式错误</t>
  </si>
  <si>
    <t>POK</t>
  </si>
  <si>
    <t>TC-035</t>
  </si>
  <si>
    <t>回复评论性能测试</t>
  </si>
  <si>
    <t>测试100人在线与10并发用户下提交回复【常情】</t>
  </si>
  <si>
    <t>评论回复功能测试正常</t>
  </si>
  <si>
    <t>1.采用LoadRunner录制脚本执行登录-访问并回复评论。
2.执行压力测试，设置最大100在线人数和同时10个并发数</t>
  </si>
  <si>
    <t>平均事务响应时间小于20秒</t>
  </si>
  <si>
    <t>NG</t>
  </si>
  <si>
    <t>TC-036</t>
  </si>
  <si>
    <t>测试1000人在线与100并发用户下的提交回复【峰值】</t>
  </si>
  <si>
    <t>1.采用LoadRunner录制脚本执行登录-访问并回复评论。
2.执行压力测试，设置最大1000在线人数和同时100个并发数</t>
  </si>
  <si>
    <t>TC-037</t>
  </si>
  <si>
    <t>测试5000人在线与500并发用户下的提交回复【压力测试】</t>
  </si>
  <si>
    <t>1.采用LoadRunner录制脚本执行登录-访问并回复评论。
2.执行压力测试，设置最大5000在线人数和同时500个并发数</t>
  </si>
  <si>
    <t>TC-038</t>
  </si>
  <si>
    <t>自然方式可靠性测试</t>
  </si>
  <si>
    <t>测试7*24可靠性</t>
  </si>
  <si>
    <t>系统功能正常运行</t>
  </si>
  <si>
    <t>1. 连续运行系统7天，正常使用系统；
2. 观察系统的故障发生和处理情况，计算系统平均故障间隔时间，以及故障恢复的平均用时</t>
  </si>
  <si>
    <t>MBTF&gt;5天
MTTR&lt;2小时</t>
  </si>
  <si>
    <t>TC-039</t>
  </si>
  <si>
    <t>故障注入方式可靠性测试</t>
  </si>
  <si>
    <t>测试断电重启下系统的可靠性</t>
  </si>
  <si>
    <t xml:space="preserve">1. 强制系统服务器断电重启;
2. 观察系统是否能及时地恢复运行，数据库中的数据是否因此留下了“脏”数据。
</t>
  </si>
  <si>
    <t>系统在10分钟内完成重启；数据库中的数据正确</t>
  </si>
  <si>
    <t>TC-040</t>
  </si>
  <si>
    <t xml:space="preserve">测试权限控制
</t>
  </si>
  <si>
    <t xml:space="preserve">1. 不同的角色login;
2. 检查该角色所有授权的动作是否都能做，所有非授权的信息是否都无法看到。
</t>
  </si>
  <si>
    <t>鉴权正确
授权正确</t>
  </si>
  <si>
    <t>TC-041</t>
  </si>
  <si>
    <t>抗攻击</t>
  </si>
  <si>
    <t>SQL注入测试</t>
  </si>
  <si>
    <t>1. 确定输入点
2. 基础探测
3. 联合查询
4. 报错注入
5. 布尔盲注
6. 时间盲注
7. 使用 sqlmap 快速检测
8. 记录漏洞</t>
  </si>
  <si>
    <t>无SQL数据泄露</t>
  </si>
  <si>
    <t>TC-042</t>
  </si>
  <si>
    <t>浏览器兼容性</t>
  </si>
  <si>
    <t>测试不同浏览器</t>
  </si>
  <si>
    <t>1. 采用主流Web浏览器及其主要版本访问系统，包括Chrome 125+，Firefox 126+，Edge 125+，Safari 17。
2. 操作系统各功能，检查系统的所有界面是否正常显示，排版是否合理。</t>
  </si>
  <si>
    <t>界面正常
排版合理</t>
  </si>
  <si>
    <t>TC-043</t>
  </si>
  <si>
    <t>Windows桌面浏览器</t>
  </si>
  <si>
    <t>Windows 11 + Chrome 核心业务流程兼容性</t>
  </si>
  <si>
    <t>前端、后端和数据库正常运行；准备普通用户和活动组织者账号；Chrome使用测试执行日的当前稳定版或前一主版本。</t>
  </si>
  <si>
    <t>1. 使用Chrome访问系统并登录。
2. 浏览活动列表，按关键词、类别和时间筛选。
3. 打开活动详情并执行收藏、报名。
4. 进入个人中心查看报名与收藏记录。
5. 使用组织者账号创建并编辑活动。
6. 打开开发者工具检查Console和Network。</t>
  </si>
  <si>
    <t>页面布局、字体、图片和按钮显示正常；检索、详情、收藏、报名、个人中心及活动创建/编辑均可正常操作；无阻断性JavaScript错误、资源加载失败或接口兼容问题。</t>
  </si>
  <si>
    <t>TC-044</t>
  </si>
  <si>
    <t>Windows 11 + Edge 核心业务流程兼容性</t>
  </si>
  <si>
    <t>系统正常运行；准备测试账号；Edge使用测试执行日的当前稳定版或前一主版本。</t>
  </si>
  <si>
    <t>1. 使用Edge登录系统。
2. 完成活动检索、查看详情、收藏和报名。
3. 进入个人中心检查记录。
4. 使用组织者账号创建、修改活动。
5. 检查弹窗、下拉框、日期时间控件及页面跳转。
6. 检查Console与Network。</t>
  </si>
  <si>
    <t>核心流程结果与Chrome一致；页面无错位、遮挡或样式丢失；表单控件、弹窗、路由和接口调用正常；无阻断性控制台错误。</t>
  </si>
  <si>
    <t>TC-045</t>
  </si>
  <si>
    <t>Windows 11 + Firefox 核心业务流程兼容性</t>
  </si>
  <si>
    <t>系统正常运行；准备测试账号；Firefox使用测试执行日的当前稳定版或前一主版本。</t>
  </si>
  <si>
    <t>1. 使用Firefox登录系统。
2. 执行活动列表加载、搜索筛选、详情查看、收藏和报名。
3. 刷新页面并使用浏览器前进/后退。
4. 使用组织者账号填写活动创建与编辑表单。
5. 检查Console与Network。</t>
  </si>
  <si>
    <t>核心业务可完成；刷新、前进和后退不会导致白屏或状态异常；表单输入、日期时间控件和接口请求正常；无阻断性JavaScript或CSS兼容问题。</t>
  </si>
  <si>
    <t>TC-046</t>
  </si>
  <si>
    <t>macOS桌面浏览器</t>
  </si>
  <si>
    <t>macOS + Safari 核心业务流程兼容性</t>
  </si>
  <si>
    <t>系统部署在可访问的测试环境；准备测试账号；使用测试执行日Safari稳定版。</t>
  </si>
  <si>
    <t>1. 在macOS Safari中访问并登录系统。
2. 浏览、检索并打开活动详情。
3. 执行收藏、报名并查看个人中心。
4. 使用组织者账号创建和编辑活动。
5. 检查中文输入、日期时间控件、弹窗和页面滚动。
6. 检查Safari Web Inspector。</t>
  </si>
  <si>
    <t>Safari下核心功能与Windows主流浏览器一致；中文输入和表单控件正常；页面滚动、弹窗、图片和响应式布局正确；无阻断性脚本或网络错误。</t>
  </si>
  <si>
    <t>TC-047</t>
  </si>
  <si>
    <t>iPhone移动端</t>
  </si>
  <si>
    <t>iPhone Safari 竖屏与横屏兼容性</t>
  </si>
  <si>
    <t>系统可通过测试网络访问；准备普通用户账号；使用iPhone Safari或BrowserStack iOS环境。</t>
  </si>
  <si>
    <t>1. 竖屏打开系统并登录。
2. 浏览活动列表、搜索筛选、查看详情并报名。
3. 检查导航菜单、按钮、输入框和弹窗。
4. 切换横屏后重复查看列表和详情。
5. 检查页面滚动、软键盘弹出及返回操作。</t>
  </si>
  <si>
    <t>竖屏和横屏均无横向溢出、内容遮挡或不可点击区域；主要按钮始终可见；软键盘不会遮挡关键输入和提交按钮；核心浏览与报名流程可完成。</t>
  </si>
  <si>
    <t>TC-048</t>
  </si>
  <si>
    <t>Android移动端</t>
  </si>
  <si>
    <t>Android Chrome 竖屏与横屏兼容性</t>
  </si>
  <si>
    <t>系统可通过测试网络访问；准备普通用户账号；使用Android Chrome稳定版或BrowserStack。</t>
  </si>
  <si>
    <t>1. 竖屏登录系统。
2. 执行活动浏览、检索、详情、收藏与报名。
3. 展开和收起导航菜单。
4. 切换横屏并检查列表、详情和个人中心。
5. 检查触控操作、滚动、软键盘和弹窗关闭。</t>
  </si>
  <si>
    <t>核心功能可正常操作；触控区域大小合理且无误触；页面在方向切换后自动重排；无横向溢出、按钮遮挡、弹窗无法关闭或内容缺失。</t>
  </si>
  <si>
    <t>TC-049</t>
  </si>
  <si>
    <t>分辨率与缩放</t>
  </si>
  <si>
    <t>桌面分辨率及浏览器缩放兼容性</t>
  </si>
  <si>
    <t>系统正常运行；使用Chrome或Edge；浏览器窗口可调整。</t>
  </si>
  <si>
    <t>1. 分别在1366×768、1920×1080、2560×1440分辨率下访问系统。
2. 在80%、100%、125%、150%、200%缩放比例下检查首页、活动列表、详情、创建活动和个人中心。
3. 检查导航栏、表格、卡片、表单、弹窗和分页。
4. 检查键盘Tab导航是否仍可到达主要操作。</t>
  </si>
  <si>
    <t>各分辨率和缩放比例下信息可读；关键控件不重叠、不被截断；页面允许合理滚动；弹窗与表单可完整操作；200%缩放下仍能完成核心流程。</t>
  </si>
  <si>
    <t>TC-050</t>
  </si>
  <si>
    <t>表单控件与中文输入</t>
  </si>
  <si>
    <t>多浏览器表单控件、中文内容和校验提示兼容性</t>
  </si>
  <si>
    <t>系统正常运行；准备活动组织者账号；Chrome、Edge、Firefox、Safari至少各执行一次。</t>
  </si>
  <si>
    <t>1. 在不同浏览器登录组织者账号。
2. 创建活动，输入中文标题、地点和多行描述。
3. 操作类别下拉框、日期时间控件、人数输入框。
4. 分别提交合法数据、空必填项、超长文本和非法时间范围。
5. 编辑已创建活动并保存。
6. 比较各浏览器提示文案、字段值和提交结果。</t>
  </si>
  <si>
    <t>中文不乱码；多行文本、下拉框、日期时间控件和数字输入行为一致；合法数据可保存，非法数据均得到清晰且一致的校验提示；编辑后数据正确回显。</t>
  </si>
  <si>
    <t>TC-051</t>
  </si>
  <si>
    <t>用户注册与登录</t>
  </si>
  <si>
    <t>性能测试-负载测试</t>
  </si>
  <si>
    <t>100 并发用户注册/登录性能测试</t>
  </si>
  <si>
    <t>1. 已部署稳定测试环境； 2. 准备不少于 10,000 个可用测试账号及注册数据； 3. 数据库、缓存和日志监控正常。</t>
  </si>
  <si>
    <t>1. 使用 JMeter/LoadRunner 录制注册、登录脚本； 2. 20 秒内逐步升至 100 并发用户； 3. 持续运行 10 分钟，注册与登录请求比例为 3:7； 4. 记录响应时间、吞吐量、错误率和资源使用率。</t>
  </si>
  <si>
    <t>1. 95% 请求响应时间 &lt; 3 秒； 2. 错误率 ≤ 1%； 3. 注册用户数据完整且无重复； 4. 登录会话正确生成，无串号或异常失效。</t>
  </si>
  <si>
    <t>TC-052</t>
  </si>
  <si>
    <t>活动列表</t>
  </si>
  <si>
    <t>10k 活动数据下活动列表首屏加载性能测试</t>
  </si>
  <si>
    <t>1. 活动数据不少于 10,000 条，包含不同类别、时间、地点和热度； 2. 首页及列表页可正常访问； 3. 已清理异常测试数据。</t>
  </si>
  <si>
    <t>1. 模拟 100 并发用户访问活动列表首屏； 2. 每个用户随机翻页 3～5 次； 3. 分别执行冷缓存和热缓存场景； 4. 持续 10 分钟并采集接口、数据库和缓存指标。</t>
  </si>
  <si>
    <t>1. 95% 列表请求响应时间 &lt; 3 秒； 2. 错误率 ≤ 1%； 3. 列表分页、排序结果正确，无重复或漏项； 4. 冷/热缓存切换不造成服务不可用； 5. 数据库无持续慢查询堆积。</t>
  </si>
  <si>
    <t>TC-053</t>
  </si>
  <si>
    <t>活动筛选</t>
  </si>
  <si>
    <t>兴趣/时间/地点/热度多条件筛选性能测试</t>
  </si>
  <si>
    <t>1. 活动数据不少于 10,000 条； 2. 筛选字段已建立正常索引； 3. 准备覆盖不同学院、时间段和地点的筛选组合。</t>
  </si>
  <si>
    <t>1. 100 并发用户随机组合兴趣、时间、地点、热度条件； 2. 每个用户连续执行 20 次筛选； 3. 混合单条件、双条件和四条件筛选； 4. 记录 P90/P95/P99 响应时间与查询错误。</t>
  </si>
  <si>
    <t>1. 95% 筛选请求响应时间 &lt; 3 秒； 2. 错误率 ≤ 1%； 3. 返回结果与筛选条件一致； 4. P99 无明显长尾（建议 &lt; 5 秒）； 5. 无因组合条件导致的数据库锁等待或超时。</t>
  </si>
  <si>
    <t>TC-054</t>
  </si>
  <si>
    <t>活动语义检索 100 并发性能测试</t>
  </si>
  <si>
    <t>1. 已建立活动文本索引/向量索引； 2. 准备不少于 200 条自然语言检索语句； 3. 活动数据不少于 10,000 条。</t>
  </si>
  <si>
    <t>1. 100 并发用户随机提交自然语言查询，如“本周五晚上的人工智能讲座”； 2. 每次查询后随机翻页或查看详情； 3. 持续 10 分钟； 4. 统计检索接口、检索服务和数据库耗时。</t>
  </si>
  <si>
    <t>1. 95% 检索请求响应时间 &lt; 3 秒； 2. 错误率 ≤ 1%； 3. 返回结果数量和字段完整； 4. 检索服务无超时、熔断风暴或请求堆积； 5. 相同查询的结果稳定且可解释。</t>
  </si>
  <si>
    <t>TC-055</t>
  </si>
  <si>
    <t>个性化活动推荐 100 并发性能测试</t>
  </si>
  <si>
    <t>1. 已生成用户兴趣、可参与时间、历史参与和社交关系数据； 2. 测试用户不少于 10,000； 3. 推荐模型/规则服务已启用。</t>
  </si>
  <si>
    <t>1. 100 并发用户同时请求推荐列表； 2. 用户画像覆盖新用户、活跃用户和兴趣稀疏用户； 3. 持续 10 分钟并周期性刷新推荐； 4. 记录推荐计算、特征读取和接口总耗时。</t>
  </si>
  <si>
    <t>1. 95% 推荐请求响应时间 &lt; 3 秒； 2. 错误率 ≤ 1%； 3. 每次返回规定数量的可报名活动； 4. 不推荐明显时间冲突或已结束活动； 5. 推荐服务降级时仍能返回热门活动。</t>
  </si>
  <si>
    <t>TC-056</t>
  </si>
  <si>
    <t>活动发布</t>
  </si>
  <si>
    <t>组织者并发发布活动性能测试</t>
  </si>
  <si>
    <t>1. 准备 100 个具有组织者权限的账号； 2. 准备活动海报及完整活动信息； 3. 存储服务可正常上传图片。</t>
  </si>
  <si>
    <t>1. 100 个组织者账号在 30 秒内并发提交活动发布请求； 2. 每个活动包含类别、内容、起止时间、地点和 1 张海报； 3. 重复执行 5 轮； 4. 检查接口响应、图片存储和数据库写入。</t>
  </si>
  <si>
    <t>1. 95% 发布请求响应时间 &lt; 3 秒（海报可采用异步上传/处理）； 2. 错误率 ≤ 1%； 3. 活动信息与海报关联正确； 4. 不产生重复活动或脏数据； 5. 发布后列表可在合理时间内检索到新活动。</t>
  </si>
  <si>
    <t>TC-057</t>
  </si>
  <si>
    <t>性能测试-并发一致性</t>
  </si>
  <si>
    <t>热门活动 100 并发报名与名额一致性测试</t>
  </si>
  <si>
    <t>1. 创建报名名额为 50 的热门活动； 2. 准备 100 个未报名用户； 3. 活动处于可报名状态。</t>
  </si>
  <si>
    <t>1. 100 个用户在 1 秒内同时提交报名； 2. 每个用户重复点击报名 2 次以模拟网络重试； 3. 检查报名记录、剩余名额和返回状态； 4. 重复执行 10 轮。</t>
  </si>
  <si>
    <t>1. 95% 报名请求响应时间 &lt; 3 秒； 2. 成功报名人数不超过 50，剩余用户得到明确“名额已满”提示； 3. 同一用户仅生成 1 条有效报名记录； 4. 无超卖、负数名额、死锁或长事务； 5. 错误率 ≤ 1%（业务拒绝不计系统错误）。</t>
  </si>
  <si>
    <t>TC-058</t>
  </si>
  <si>
    <t>组织者批量审核报名性能测试</t>
  </si>
  <si>
    <t>1. 至少 10 个活动，每个活动有 1,000 条待审核报名； 2. 准备组织者账号及审核权限； 3. 通知服务可用。</t>
  </si>
  <si>
    <t>1. 50 个组织者并发打开待审核列表并分页查询； 2. 每人每批审核 50 条，连续执行 10 批； 3. 同时触发站内通知； 4. 记录列表查询、批量更新和通知耗时。</t>
  </si>
  <si>
    <t>1. 95% 查询及审核请求响应时间 &lt; 3 秒； 2. 错误率 ≤ 1%； 3. 审核状态更新完整且无重复处理； 4. 通知可异步发送，不阻塞主流程； 5. 无数据库锁冲突导致的大量超时。</t>
  </si>
  <si>
    <t>TC-059</t>
  </si>
  <si>
    <t>活动签到</t>
  </si>
  <si>
    <t>性能测试-峰值测试</t>
  </si>
  <si>
    <t>活动开始时 100 并发签到峰值性能测试</t>
  </si>
  <si>
    <t>1. 创建可签到活动并生成二维码/动态口令； 2. 准备 100 个已审核通过的参与者； 3. 定位或动态口令校验服务正常。</t>
  </si>
  <si>
    <t>1. 在活动开始时 5 秒内发起 100 个签到请求； 2. 混合二维码、定位和动态口令三种方式； 3. 部分用户重复提交签到； 4. 连续执行 10 轮并观察峰值恢复时间。</t>
  </si>
  <si>
    <t>1. 95% 签到请求响应时间 &lt; 3 秒； 2. 错误率 ≤ 1%； 3. 每个用户最多生成 1 条有效签到记录； 4. 非法位置、过期口令或未报名用户被正确拒绝； 5. 峰值结束后 1 分钟内资源和响应恢复正常。</t>
  </si>
  <si>
    <t>TC-060</t>
  </si>
  <si>
    <t>活动照片与总结发布/浏览性能测试</t>
  </si>
  <si>
    <t>1. 准备 100 个已结束活动； 2. 每个活动预置 50～200 张压缩图片； 3. 对象存储和 CDN/静态资源服务正常。</t>
  </si>
  <si>
    <t>1. 20 个组织者并发发布活动总结及照片元数据； 2. 同时 100 个用户浏览活动记录并翻页； 3. 持续 15 分钟； 4. 统计页面接口耗时、图片首屏加载时间和错误率。</t>
  </si>
  <si>
    <t>1. 95% 活动记录接口响应时间 &lt; 3 秒； 2. 首屏图片采用缩略图/懒加载，不阻塞主要内容； 3. 错误率 ≤ 1%； 4. 图片与活动关联正确，无错图或重复记录； 5. 存储带宽增加时应用服务仍保持稳定。</t>
  </si>
  <si>
    <t>TC-061</t>
  </si>
  <si>
    <t>100 并发评价与反馈提交性能测试</t>
  </si>
  <si>
    <t>1. 准备 100 个已完成签到的参与者； 2. 活动处于可评价状态； 3. 评价统计任务已配置。</t>
  </si>
  <si>
    <t>1. 100 个用户同时提交评分、标签和文字反馈； 2. 部分用户修改已提交评价； 3. 同时访问活动评价汇总； 4. 持续 10 分钟。</t>
  </si>
  <si>
    <t>1. 95% 提交和查询请求响应时间 &lt; 3 秒； 2. 错误率 ≤ 1%； 3. 每个用户仅保留一条有效评价，修改操作正确覆盖； 4. 平均分、评价数等统计结果最终一致； 5. 敏感词/内容校验不造成明显阻塞。</t>
  </si>
  <si>
    <t>TC-062</t>
  </si>
  <si>
    <t>核心业务混合场景</t>
  </si>
  <si>
    <t>性能测试-综合负载</t>
  </si>
  <si>
    <t>100 并发用户混合业务场景性能测试</t>
  </si>
  <si>
    <t>1. 数据量不少于 10,000； 2. 各核心功能均可正常使用； 3. 已配置全链路监控。</t>
  </si>
  <si>
    <t>1. 模拟 100 并发用户持续 30 分钟； 2. 业务比例：浏览 35%、筛选/检索 25%、推荐 15%、报名 10%、签到 10%、反馈 5%； 3. 设置真实思考时间 2～8 秒； 4. 采集端到端、接口、数据库、缓存和主机指标。</t>
  </si>
  <si>
    <t>1. 全场景 95% 请求响应时间 &lt; 3 秒； 2. 总错误率 ≤ 1%； 3. 吞吐量在稳态阶段无明显下降； 4. 无线程池/连接池耗尽、服务重启或请求堆积； 5. 报名、签到、反馈等写操作数据一致。</t>
  </si>
  <si>
    <t>TC-063</t>
  </si>
  <si>
    <t>系统容量</t>
  </si>
  <si>
    <t>性能测试-压力测试</t>
  </si>
  <si>
    <t>逐级加压确定系统最大稳定并发量</t>
  </si>
  <si>
    <t>1. 采用不少于 10,000 条活动和用户数据； 2. 基准环境与正式部署规格一致或可换算； 3. 已设定停止条件和数据回滚方案。</t>
  </si>
  <si>
    <t>1. 并发用户按 50、100、150、200、300 逐级增加； 2. 每级运行 10 分钟，采用核心业务混合场景； 3. 当 P95 超过 3 秒、错误率超过 1% 或资源持续饱和时停止； 4. 记录拐点和瓶颈组件。</t>
  </si>
  <si>
    <t>1. 100 并发时满足响应时间 &lt; 3 秒和错误率 ≤ 1%； 2. 明确最大稳定并发量及对应吞吐量； 3. 超过容量时系统可控降级而非崩溃； 4. 压力解除后 5 分钟内恢复正常； 5. 输出瓶颈分析依据。</t>
  </si>
  <si>
    <t>TC-064</t>
  </si>
  <si>
    <t>系统稳定性</t>
  </si>
  <si>
    <t>性能测试-耐久测试</t>
  </si>
  <si>
    <t>24 小时持续运行稳定性测试</t>
  </si>
  <si>
    <t>1. 核心业务数据不少于 10,000； 2. 监控覆盖 CPU、内存、磁盘、连接池、线程池、数据库和缓存； 3. 日志保存空间充足。</t>
  </si>
  <si>
    <t>1. 以 60 并发持续运行 24 小时； 2. 每小时增加一次 100 并发峰值，持续 10 分钟； 3. 混合执行浏览、检索、推荐、报名、签到和反馈； 4. 每小时记录资源曲线和错误明细。</t>
  </si>
  <si>
    <t>1. 稳态及峰值阶段 95% 请求响应时间 &lt; 3 秒； 2. 错误率 ≤ 1%； 3. 24 小时内无崩溃、无不可恢复故障； 4. 内存、线程、连接数无持续单向增长； 5. 数据库、缓存和日志无异常膨胀。</t>
  </si>
  <si>
    <t>TC-065</t>
  </si>
  <si>
    <t>单点登录</t>
  </si>
  <si>
    <t>性能测试-集成负载</t>
  </si>
  <si>
    <t>上海交通大学单点登录集成性能测试</t>
  </si>
  <si>
    <t>1. 已完成学校 SSO 测试环境接入； 2. 准备有效、无效和过期凭证； 3. SSO 限流策略和测试窗口已确认。</t>
  </si>
  <si>
    <t>1. 100 并发用户通过 SSO 登录平台； 2. 混合首次登录、重复登录、令牌刷新和退出； 3. 持续 10 分钟； 4. 分别记录本系统耗时和外部 SSO 耗时。</t>
  </si>
  <si>
    <t>1. 在外部 SSO 正常情况下，95% 端到端登录响应时间 &lt; 3 秒； 2. 错误率 ≤ 1%； 3. 用户身份映射正确，无重复建档； 4. 外部 SSO 超时或限流时提示明确并可重试； 5. 不因重试造成请求风暴。</t>
  </si>
  <si>
    <t>TC-066</t>
  </si>
  <si>
    <t>智能分析与社区聚类</t>
  </si>
  <si>
    <t>性能测试-批处理与查询</t>
  </si>
  <si>
    <t>活动分析报表及社区聚类性能测试</t>
  </si>
  <si>
    <t>1. 准备不少于 10,000 名用户及完整行为日志； 2. 已配置报名转化率、到场率、评价和传播路径分析任务； 3. 聚类算法与可视化页面可运行。</t>
  </si>
  <si>
    <t>1. 触发一次全量指标计算和社区聚类任务； 2. 任务运行期间 100 并发用户查询活动列表与推荐； 3. 任务完成后 50 并发用户打开分析和聚类可视化页面； 4. 记录批处理耗时及对在线业务的影响。</t>
  </si>
  <si>
    <t>1. 批处理任务在项目约定时间内完成，并输出完整结果； 2. 批处理期间在线业务 95% 响应时间仍 &lt; 3 秒，错误率 ≤ 1%； 3. 可视化查询 95% 响应时间 &lt; 3 秒； 4. 聚类结果与用户数量一致，无丢失或重复； 5. 批处理可失败重试且不产生脏数据。</t>
  </si>
  <si>
    <t>测试类型</t>
  </si>
  <si>
    <t>常用测试方法</t>
  </si>
  <si>
    <t>采用场景法测试所有用例的所有事件流；
采用等价类划分、边界值分析、判定表法、错误猜测法等进行输入输出的测试。</t>
  </si>
  <si>
    <r>
      <rPr>
        <sz val="10.5"/>
        <rFont val="宋体"/>
        <charset val="134"/>
      </rPr>
      <t>测试在规定条件(如并发数、数据量)</t>
    </r>
    <r>
      <rPr>
        <sz val="10.5"/>
        <rFont val="宋体"/>
        <charset val="134"/>
      </rPr>
      <t>下，软件执行其功能时，提供适当的响应和处理时间以及吞吐率的能力，</t>
    </r>
    <r>
      <rPr>
        <sz val="10.5"/>
        <rFont val="宋体"/>
        <charset val="134"/>
      </rPr>
      <t>以及</t>
    </r>
    <r>
      <rPr>
        <sz val="10.5"/>
        <rFont val="宋体"/>
        <charset val="134"/>
      </rPr>
      <t>CPU、内存、网络等</t>
    </r>
    <r>
      <rPr>
        <sz val="10.5"/>
        <rFont val="宋体"/>
        <charset val="134"/>
      </rPr>
      <t>资源的使用情况</t>
    </r>
    <r>
      <rPr>
        <sz val="10.5"/>
        <rFont val="宋体"/>
        <charset val="134"/>
      </rPr>
      <t>。</t>
    </r>
    <r>
      <rPr>
        <sz val="10.5"/>
        <rFont val="宋体"/>
        <charset val="134"/>
      </rPr>
      <t>通常采用性能测试工具来模拟多个并发用户进行测试。</t>
    </r>
  </si>
  <si>
    <r>
      <rPr>
        <sz val="10.5"/>
        <rFont val="宋体"/>
        <charset val="134"/>
      </rPr>
      <t>关注故障的避免、预防、容错和恢复：通过自然方式和故障注入方式来触发和激活系统中的故障来测试。
常用指标：可用性Availability、</t>
    </r>
    <r>
      <rPr>
        <sz val="10.5"/>
        <rFont val="宋体"/>
        <charset val="134"/>
      </rPr>
      <t>平均故障间隔时间</t>
    </r>
    <r>
      <rPr>
        <sz val="10.5"/>
        <rFont val="宋体"/>
        <charset val="134"/>
      </rPr>
      <t>MTBF、平均故障修复时间MTTR。</t>
    </r>
  </si>
  <si>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</si>
  <si>
    <t>测试与其他软件或硬件的兼容。
例如系统前端与各种Web浏览器及各版本与各分辨率的兼容，系统后端与各种操作系统及数据库的兼容。</t>
  </si>
  <si>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</si>
  <si>
    <t>首次安装测试、升级安装测试、卸装测试</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</si>
</sst>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3" formatCode="_ * #,##0.00_ ;_ * \-#,##0.00_ ;_ * &quot;-&quot;??_ ;_ @_ "/>
    <numFmt numFmtId="176" formatCode="_ * #,##0_ ;_ * \-#,##0_ ;_ * &quot;-&quot;??_ ;_ @_ "/>
    <numFmt numFmtId="177" formatCode="_-&quot;\&quot;* #,##0_-\ ;\-&quot;\&quot;* #,##0_-\ ;_-&quot;\&quot;* &quot;-&quot;??_-\ ;_-@_-"/>
    <numFmt numFmtId="178" formatCode="_-&quot;\&quot;* #,##0.00_-\ ;\-&quot;\&quot;* #,##0.00_-\ ;_-&quot;\&quot;* &quot;-&quot;??_-\ ;_-@_-"/>
    <numFmt numFmtId="179" formatCode="yyyy\.mm\.dd"/>
  </numFmts>
  <fonts count="41">
    <font>
      <sz val="12"/>
      <name val="宋体"/>
      <charset val="134"/>
    </font>
    <font>
      <sz val="10.5"/>
      <name val="宋体"/>
      <charset val="134"/>
    </font>
    <font>
      <b/>
      <sz val="12"/>
      <color theme="1"/>
      <name val="宋体"/>
      <charset val="134"/>
    </font>
    <font>
      <b/>
      <sz val="12"/>
      <name val="宋体"/>
      <charset val="134"/>
    </font>
    <font>
      <sz val="12"/>
      <name val="宋体"/>
      <charset val="134"/>
      <scheme val="minor"/>
    </font>
    <font>
      <b/>
      <sz val="12"/>
      <name val="宋体"/>
      <charset val="134"/>
      <scheme val="minor"/>
    </font>
    <font>
      <b/>
      <sz val="12"/>
      <color theme="0"/>
      <name val="宋体"/>
      <charset val="134"/>
      <scheme val="minor"/>
    </font>
    <font>
      <sz val="12"/>
      <color theme="0"/>
      <name val="宋体"/>
      <charset val="134"/>
      <scheme val="minor"/>
    </font>
    <font>
      <sz val="12"/>
      <color rgb="FF1D2B2F"/>
      <name val="宋体"/>
      <charset val="0"/>
      <scheme val="minor"/>
    </font>
    <font>
      <sz val="12"/>
      <name val="Times New Roman"/>
      <charset val="134"/>
    </font>
    <font>
      <sz val="12"/>
      <color rgb="FF3366FF"/>
      <name val="宋体"/>
      <charset val="134"/>
    </font>
    <font>
      <sz val="12"/>
      <color indexed="48"/>
      <name val="Times New Roman"/>
      <charset val="134"/>
    </font>
    <font>
      <sz val="12"/>
      <color indexed="62"/>
      <name val="Times New Roman"/>
      <charset val="134"/>
    </font>
    <font>
      <sz val="20"/>
      <name val="华文细黑"/>
      <charset val="134"/>
    </font>
    <font>
      <sz val="20"/>
      <color indexed="48"/>
      <name val="华文细黑"/>
      <charset val="134"/>
    </font>
    <font>
      <sz val="10.5"/>
      <color indexed="48"/>
      <name val="Times New Roman"/>
      <charset val="134"/>
    </font>
    <font>
      <sz val="12"/>
      <color rgb="FF3366FF"/>
      <name val="宋体-简"/>
      <charset val="134"/>
    </font>
    <font>
      <sz val="12"/>
      <color theme="1"/>
      <name val="宋体"/>
      <charset val="134"/>
    </font>
    <font>
      <sz val="12"/>
      <color theme="1"/>
      <name val="Times New Roman"/>
      <charset val="134"/>
    </font>
    <font>
      <u/>
      <sz val="10"/>
      <color indexed="12"/>
      <name val="宋体"/>
      <charset val="134"/>
    </font>
    <font>
      <sz val="11"/>
      <color theme="1"/>
      <name val="宋体"/>
      <charset val="134"/>
      <scheme val="minor"/>
    </font>
    <font>
      <u/>
      <sz val="12"/>
      <color indexed="12"/>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rgb="FF3366FF"/>
      <name val="Times New Roman"/>
      <charset val="134"/>
    </font>
  </fonts>
  <fills count="42">
    <fill>
      <patternFill patternType="none"/>
    </fill>
    <fill>
      <patternFill patternType="gray125"/>
    </fill>
    <fill>
      <patternFill patternType="solid">
        <fgColor theme="6" tint="0.799981688894314"/>
        <bgColor indexed="64"/>
      </patternFill>
    </fill>
    <fill>
      <patternFill patternType="solid">
        <fgColor theme="0"/>
        <bgColor indexed="64"/>
      </patternFill>
    </fill>
    <fill>
      <patternFill patternType="solid">
        <fgColor theme="8" tint="-0.499984740745262"/>
        <bgColor indexed="64"/>
      </patternFill>
    </fill>
    <fill>
      <patternFill patternType="solid">
        <fgColor rgb="FFEBF1DE"/>
        <bgColor indexed="64"/>
      </patternFill>
    </fill>
    <fill>
      <patternFill patternType="solid">
        <fgColor theme="6" tint="0.79998"/>
        <bgColor indexed="64"/>
      </patternFill>
    </fill>
    <fill>
      <patternFill patternType="solid">
        <fgColor rgb="FFE8EFDC"/>
        <bgColor rgb="FF000000"/>
      </patternFill>
    </fill>
    <fill>
      <patternFill patternType="solid">
        <fgColor indexed="9"/>
        <bgColor indexed="64"/>
      </patternFill>
    </fill>
    <fill>
      <patternFill patternType="solid">
        <fgColor indexed="27"/>
        <bgColor indexed="64"/>
      </patternFill>
    </fill>
    <fill>
      <patternFill patternType="solid">
        <fgColor rgb="FFFFFFD5"/>
        <bgColor indexed="64"/>
      </patternFill>
    </fill>
    <fill>
      <patternFill patternType="solid">
        <fgColor indexed="4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rgb="FF6B7778"/>
      </left>
      <right style="medium">
        <color rgb="FF6B7778"/>
      </right>
      <top style="medium">
        <color rgb="FF6B7778"/>
      </top>
      <bottom style="medium">
        <color rgb="FF6B7778"/>
      </bottom>
      <diagonal/>
    </border>
    <border>
      <left style="medium">
        <color rgb="FF6B7778"/>
      </left>
      <right style="medium">
        <color rgb="FF6B7778"/>
      </right>
      <top style="thin">
        <color auto="1"/>
      </top>
      <bottom style="medium">
        <color rgb="FF6B7778"/>
      </bottom>
      <diagonal/>
    </border>
    <border>
      <left style="medium">
        <color rgb="FF6B7778"/>
      </left>
      <right style="medium">
        <color rgb="FF6B7778"/>
      </right>
      <top/>
      <bottom style="medium">
        <color rgb="FF6B7778"/>
      </bottom>
      <diagonal/>
    </border>
    <border>
      <left style="medium">
        <color rgb="FF6B7778"/>
      </left>
      <right style="thin">
        <color auto="1"/>
      </right>
      <top style="thin">
        <color auto="1"/>
      </top>
      <bottom style="medium">
        <color rgb="FF6B7778"/>
      </bottom>
      <diagonal/>
    </border>
    <border>
      <left style="medium">
        <color rgb="FF6B7778"/>
      </left>
      <right style="thin">
        <color auto="1"/>
      </right>
      <top style="medium">
        <color rgb="FF6B7778"/>
      </top>
      <bottom style="medium">
        <color rgb="FF6B7778"/>
      </bottom>
      <diagonal/>
    </border>
    <border>
      <left style="medium">
        <color rgb="FF6B7778"/>
      </left>
      <right style="medium">
        <color rgb="FF6B7778"/>
      </right>
      <top style="medium">
        <color rgb="FF6B7778"/>
      </top>
      <bottom style="thin">
        <color auto="1"/>
      </bottom>
      <diagonal/>
    </border>
    <border>
      <left style="medium">
        <color rgb="FF6B7778"/>
      </left>
      <right style="medium">
        <color rgb="FF6B7778"/>
      </right>
      <top style="medium">
        <color rgb="FF6B7778"/>
      </top>
      <bottom/>
      <diagonal/>
    </border>
    <border>
      <left style="medium">
        <color rgb="FF6B7778"/>
      </left>
      <right style="thin">
        <color auto="1"/>
      </right>
      <top style="medium">
        <color rgb="FF6B7778"/>
      </top>
      <bottom style="thin">
        <color auto="1"/>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style="thin">
        <color indexed="9"/>
      </right>
      <top style="thin">
        <color indexed="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9"/>
      </right>
      <top style="thin">
        <color indexed="9"/>
      </top>
      <bottom style="thin">
        <color indexed="9"/>
      </bottom>
      <diagonal/>
    </border>
    <border>
      <left/>
      <right style="thin">
        <color auto="1"/>
      </right>
      <top style="thin">
        <color auto="1"/>
      </top>
      <bottom style="thin">
        <color auto="1"/>
      </bottom>
      <diagonal/>
    </border>
    <border>
      <left style="thin">
        <color indexed="9"/>
      </left>
      <right/>
      <top style="thin">
        <color indexed="9"/>
      </top>
      <bottom style="thin">
        <color indexed="9"/>
      </bottom>
      <diagonal/>
    </border>
    <border>
      <left style="thin">
        <color indexed="9"/>
      </left>
      <right/>
      <top/>
      <bottom style="thin">
        <color indexed="9"/>
      </bottom>
      <diagonal/>
    </border>
    <border>
      <left style="thin">
        <color indexed="9"/>
      </left>
      <right style="thin">
        <color indexed="9"/>
      </right>
      <top/>
      <bottom style="thin">
        <color indexe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20" fillId="0" borderId="0" applyFont="0" applyFill="0" applyBorder="0" applyAlignment="0" applyProtection="0">
      <alignment vertical="center"/>
    </xf>
    <xf numFmtId="177" fontId="20" fillId="0" borderId="0" applyFont="0" applyFill="0" applyBorder="0" applyAlignment="0" applyProtection="0">
      <alignment vertical="center"/>
    </xf>
    <xf numFmtId="9" fontId="20" fillId="0" borderId="0" applyFont="0" applyFill="0" applyBorder="0" applyAlignment="0" applyProtection="0">
      <alignment vertical="center"/>
    </xf>
    <xf numFmtId="43" fontId="20" fillId="0" borderId="0" applyFont="0" applyFill="0" applyBorder="0" applyAlignment="0" applyProtection="0">
      <alignment vertical="center"/>
    </xf>
    <xf numFmtId="178" fontId="20" fillId="0" borderId="0" applyFont="0" applyFill="0" applyBorder="0" applyAlignment="0" applyProtection="0">
      <alignment vertical="center"/>
    </xf>
    <xf numFmtId="0" fontId="21" fillId="0" borderId="0" applyNumberFormat="0" applyFill="0" applyBorder="0" applyAlignment="0" applyProtection="0">
      <alignment vertical="top"/>
      <protection locked="0"/>
    </xf>
    <xf numFmtId="0" fontId="22" fillId="0" borderId="0" applyNumberFormat="0" applyFill="0" applyBorder="0" applyAlignment="0" applyProtection="0">
      <alignment vertical="center"/>
    </xf>
    <xf numFmtId="0" fontId="20" fillId="12" borderId="21"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22" applyNumberFormat="0" applyFill="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8" fillId="0" borderId="0" applyNumberFormat="0" applyFill="0" applyBorder="0" applyAlignment="0" applyProtection="0">
      <alignment vertical="center"/>
    </xf>
    <xf numFmtId="0" fontId="29" fillId="13" borderId="24" applyNumberFormat="0" applyAlignment="0" applyProtection="0">
      <alignment vertical="center"/>
    </xf>
    <xf numFmtId="0" fontId="30" fillId="14" borderId="25" applyNumberFormat="0" applyAlignment="0" applyProtection="0">
      <alignment vertical="center"/>
    </xf>
    <xf numFmtId="0" fontId="31" fillId="14" borderId="24" applyNumberFormat="0" applyAlignment="0" applyProtection="0">
      <alignment vertical="center"/>
    </xf>
    <xf numFmtId="0" fontId="32" fillId="15" borderId="26" applyNumberFormat="0" applyAlignment="0" applyProtection="0">
      <alignment vertical="center"/>
    </xf>
    <xf numFmtId="0" fontId="33" fillId="0" borderId="27" applyNumberFormat="0" applyFill="0" applyAlignment="0" applyProtection="0">
      <alignment vertical="center"/>
    </xf>
    <xf numFmtId="0" fontId="34" fillId="0" borderId="28" applyNumberFormat="0" applyFill="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9" fillId="39" borderId="0" applyNumberFormat="0" applyBorder="0" applyAlignment="0" applyProtection="0">
      <alignment vertical="center"/>
    </xf>
    <xf numFmtId="0" fontId="39" fillId="40" borderId="0" applyNumberFormat="0" applyBorder="0" applyAlignment="0" applyProtection="0">
      <alignment vertical="center"/>
    </xf>
    <xf numFmtId="0" fontId="38" fillId="41" borderId="0" applyNumberFormat="0" applyBorder="0" applyAlignment="0" applyProtection="0">
      <alignment vertical="center"/>
    </xf>
  </cellStyleXfs>
  <cellXfs count="92">
    <xf numFmtId="0" fontId="0" fillId="0" borderId="0" xfId="0">
      <alignment vertical="center"/>
    </xf>
    <xf numFmtId="0" fontId="1" fillId="0" borderId="0" xfId="0" applyFont="1" applyFill="1" applyAlignment="1">
      <alignment vertical="center" wrapText="1"/>
    </xf>
    <xf numFmtId="0" fontId="2" fillId="2" borderId="1" xfId="0" applyNumberFormat="1" applyFont="1" applyFill="1" applyBorder="1" applyAlignment="1">
      <alignment vertical="center"/>
    </xf>
    <xf numFmtId="0" fontId="2" fillId="2" borderId="1" xfId="0" applyNumberFormat="1" applyFont="1" applyFill="1" applyBorder="1" applyAlignment="1">
      <alignment horizontal="center" vertical="center"/>
    </xf>
    <xf numFmtId="0" fontId="2" fillId="0" borderId="1" xfId="0" applyNumberFormat="1" applyFont="1" applyFill="1" applyBorder="1" applyAlignment="1">
      <alignment vertical="center"/>
    </xf>
    <xf numFmtId="0" fontId="1" fillId="0" borderId="1" xfId="0" applyFont="1" applyFill="1" applyBorder="1" applyAlignment="1">
      <alignment vertical="center" wrapText="1"/>
    </xf>
    <xf numFmtId="0" fontId="3" fillId="0" borderId="1" xfId="0" applyNumberFormat="1" applyFont="1" applyFill="1" applyBorder="1" applyAlignment="1">
      <alignment vertical="center"/>
    </xf>
    <xf numFmtId="0" fontId="4" fillId="0" borderId="0" xfId="0" applyNumberFormat="1" applyFont="1" applyAlignment="1" applyProtection="1">
      <alignment vertical="center" wrapText="1"/>
    </xf>
    <xf numFmtId="0" fontId="4" fillId="2" borderId="1" xfId="0" applyNumberFormat="1" applyFont="1" applyFill="1" applyBorder="1" applyAlignment="1" applyProtection="1">
      <alignment wrapText="1"/>
      <protection locked="0"/>
    </xf>
    <xf numFmtId="0" fontId="4" fillId="2" borderId="1" xfId="0" applyNumberFormat="1" applyFont="1" applyFill="1" applyBorder="1" applyAlignment="1" applyProtection="1">
      <alignment horizontal="center" wrapText="1"/>
      <protection locked="0"/>
    </xf>
    <xf numFmtId="0" fontId="4" fillId="2" borderId="0" xfId="0" applyNumberFormat="1" applyFont="1" applyFill="1" applyAlignment="1" applyProtection="1">
      <alignment wrapText="1"/>
    </xf>
    <xf numFmtId="0" fontId="4" fillId="0" borderId="0" xfId="0" applyNumberFormat="1" applyFont="1" applyAlignment="1" applyProtection="1">
      <alignment wrapText="1"/>
    </xf>
    <xf numFmtId="0" fontId="5" fillId="3" borderId="2" xfId="0" applyNumberFormat="1" applyFont="1" applyFill="1" applyBorder="1" applyAlignment="1" applyProtection="1">
      <alignment horizontal="center" vertical="center" wrapText="1"/>
      <protection locked="0"/>
    </xf>
    <xf numFmtId="0" fontId="5" fillId="3" borderId="0" xfId="0" applyNumberFormat="1" applyFont="1" applyFill="1" applyBorder="1" applyAlignment="1" applyProtection="1">
      <alignment horizontal="center" vertical="center" wrapText="1"/>
      <protection locked="0"/>
    </xf>
    <xf numFmtId="0" fontId="4" fillId="3" borderId="0" xfId="0" applyFont="1" applyFill="1" applyAlignment="1">
      <alignment vertical="center" wrapText="1"/>
    </xf>
    <xf numFmtId="0" fontId="6" fillId="4" borderId="1" xfId="0" applyNumberFormat="1" applyFont="1" applyFill="1" applyBorder="1" applyAlignment="1" applyProtection="1">
      <alignment horizontal="center" wrapText="1"/>
    </xf>
    <xf numFmtId="0" fontId="7" fillId="4" borderId="0" xfId="0" applyNumberFormat="1" applyFont="1" applyFill="1" applyBorder="1" applyAlignment="1" applyProtection="1">
      <alignment wrapText="1"/>
    </xf>
    <xf numFmtId="0" fontId="4" fillId="5" borderId="1" xfId="0" applyNumberFormat="1" applyFont="1" applyFill="1" applyBorder="1" applyAlignment="1" applyProtection="1">
      <alignment vertical="center" wrapText="1"/>
      <protection locked="0"/>
    </xf>
    <xf numFmtId="0" fontId="4" fillId="5" borderId="1" xfId="0" applyNumberFormat="1" applyFont="1" applyFill="1" applyBorder="1" applyAlignment="1" applyProtection="1">
      <alignment horizontal="center" vertical="center" wrapText="1"/>
      <protection locked="0"/>
    </xf>
    <xf numFmtId="0" fontId="4" fillId="5" borderId="0" xfId="0" applyNumberFormat="1" applyFont="1" applyFill="1" applyBorder="1" applyAlignment="1" applyProtection="1">
      <alignment vertical="center" wrapText="1"/>
    </xf>
    <xf numFmtId="0" fontId="4" fillId="2" borderId="1" xfId="0" applyNumberFormat="1" applyFont="1" applyFill="1" applyBorder="1" applyAlignment="1" applyProtection="1">
      <alignment vertical="center" wrapText="1"/>
      <protection locked="0"/>
    </xf>
    <xf numFmtId="0" fontId="4" fillId="2" borderId="1" xfId="0" applyNumberFormat="1" applyFont="1" applyFill="1" applyBorder="1" applyAlignment="1" applyProtection="1">
      <alignment horizontal="center" vertical="center" wrapText="1"/>
      <protection locked="0"/>
    </xf>
    <xf numFmtId="0" fontId="4" fillId="2" borderId="0" xfId="0" applyNumberFormat="1" applyFont="1" applyFill="1" applyBorder="1" applyAlignment="1" applyProtection="1">
      <alignment vertical="center" wrapText="1"/>
    </xf>
    <xf numFmtId="0" fontId="4" fillId="6" borderId="1" xfId="0" applyNumberFormat="1" applyFont="1" applyFill="1" applyBorder="1" applyAlignment="1">
      <alignment vertical="center" wrapText="1"/>
    </xf>
    <xf numFmtId="0" fontId="4" fillId="6" borderId="1" xfId="0" applyNumberFormat="1" applyFont="1" applyFill="1" applyBorder="1" applyAlignment="1">
      <alignment horizontal="center" vertical="center" wrapText="1"/>
    </xf>
    <xf numFmtId="0" fontId="8" fillId="7" borderId="3" xfId="0" applyFont="1" applyFill="1" applyBorder="1" applyAlignment="1">
      <alignment horizontal="center" vertical="center" wrapText="1"/>
    </xf>
    <xf numFmtId="0" fontId="4" fillId="2" borderId="4" xfId="0" applyNumberFormat="1" applyFont="1" applyFill="1" applyBorder="1" applyAlignment="1" applyProtection="1">
      <alignment horizontal="center" vertical="center" wrapText="1"/>
      <protection locked="0"/>
    </xf>
    <xf numFmtId="0" fontId="4" fillId="2" borderId="5" xfId="0" applyNumberFormat="1" applyFont="1" applyFill="1" applyBorder="1" applyAlignment="1" applyProtection="1">
      <alignment vertical="center" wrapText="1"/>
    </xf>
    <xf numFmtId="0" fontId="4" fillId="2" borderId="6" xfId="0" applyNumberFormat="1" applyFont="1" applyFill="1" applyBorder="1" applyAlignment="1" applyProtection="1">
      <alignment vertical="center" wrapText="1"/>
      <protection locked="0"/>
    </xf>
    <xf numFmtId="0" fontId="4" fillId="2" borderId="3" xfId="0" applyNumberFormat="1" applyFont="1" applyFill="1" applyBorder="1" applyAlignment="1" applyProtection="1">
      <alignment horizontal="center" vertical="center" wrapText="1"/>
      <protection locked="0"/>
    </xf>
    <xf numFmtId="0" fontId="4" fillId="2" borderId="3" xfId="0" applyNumberFormat="1" applyFont="1" applyFill="1" applyBorder="1" applyAlignment="1" applyProtection="1">
      <alignment vertical="center" wrapText="1"/>
    </xf>
    <xf numFmtId="0" fontId="4" fillId="2" borderId="7" xfId="0" applyNumberFormat="1" applyFont="1" applyFill="1" applyBorder="1" applyAlignment="1" applyProtection="1">
      <alignment vertical="center" wrapText="1"/>
      <protection locked="0"/>
    </xf>
    <xf numFmtId="0" fontId="4" fillId="2" borderId="8" xfId="0" applyNumberFormat="1" applyFont="1" applyFill="1" applyBorder="1" applyAlignment="1" applyProtection="1">
      <alignment horizontal="center" vertical="center" wrapText="1"/>
      <protection locked="0"/>
    </xf>
    <xf numFmtId="0" fontId="4" fillId="2" borderId="9" xfId="0" applyNumberFormat="1" applyFont="1" applyFill="1" applyBorder="1" applyAlignment="1" applyProtection="1">
      <alignment wrapText="1"/>
    </xf>
    <xf numFmtId="0" fontId="4" fillId="2" borderId="10" xfId="0" applyNumberFormat="1" applyFont="1" applyFill="1" applyBorder="1" applyAlignment="1" applyProtection="1">
      <alignment wrapText="1"/>
      <protection locked="0"/>
    </xf>
    <xf numFmtId="0" fontId="9" fillId="0" borderId="11" xfId="0" applyNumberFormat="1" applyFont="1" applyBorder="1" applyAlignment="1"/>
    <xf numFmtId="0" fontId="0" fillId="8" borderId="11" xfId="0" applyFill="1" applyBorder="1">
      <alignment vertical="center"/>
    </xf>
    <xf numFmtId="0" fontId="0" fillId="0" borderId="11" xfId="0" applyBorder="1">
      <alignment vertical="center"/>
    </xf>
    <xf numFmtId="0" fontId="0" fillId="8" borderId="12" xfId="0" applyFill="1" applyBorder="1">
      <alignment vertical="center"/>
    </xf>
    <xf numFmtId="0" fontId="0" fillId="0" borderId="1" xfId="0" applyFont="1" applyBorder="1" applyAlignment="1">
      <alignment horizontal="center" vertical="center" wrapText="1"/>
    </xf>
    <xf numFmtId="0" fontId="0" fillId="0" borderId="1" xfId="0" applyBorder="1" applyAlignment="1">
      <alignment horizontal="center" vertical="center"/>
    </xf>
    <xf numFmtId="0" fontId="0" fillId="0" borderId="13" xfId="0" applyBorder="1" applyAlignment="1">
      <alignment vertical="center"/>
    </xf>
    <xf numFmtId="0" fontId="0" fillId="8" borderId="0" xfId="0" applyFill="1" applyBorder="1">
      <alignment vertical="center"/>
    </xf>
    <xf numFmtId="0" fontId="0" fillId="0" borderId="14" xfId="0" applyFont="1" applyBorder="1" applyAlignment="1">
      <alignment horizontal="center" vertical="center" wrapText="1"/>
    </xf>
    <xf numFmtId="0" fontId="0" fillId="0" borderId="15" xfId="0" applyFont="1" applyBorder="1" applyAlignment="1">
      <alignment horizontal="center" vertical="center" wrapText="1"/>
    </xf>
    <xf numFmtId="0" fontId="0" fillId="0" borderId="16" xfId="0" applyBorder="1">
      <alignment vertical="center"/>
    </xf>
    <xf numFmtId="0" fontId="10"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17"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7" xfId="0" applyFont="1" applyBorder="1" applyAlignment="1">
      <alignment horizontal="center" vertical="center" wrapText="1"/>
    </xf>
    <xf numFmtId="0" fontId="0" fillId="0" borderId="17" xfId="0" applyBorder="1" applyAlignment="1">
      <alignment horizontal="center" vertical="center" wrapText="1"/>
    </xf>
    <xf numFmtId="0" fontId="11" fillId="0" borderId="14" xfId="0" applyFont="1" applyBorder="1" applyAlignment="1">
      <alignment horizontal="center" vertical="center" wrapText="1"/>
    </xf>
    <xf numFmtId="49" fontId="11" fillId="0" borderId="14" xfId="0" applyNumberFormat="1" applyFont="1" applyBorder="1" applyAlignment="1">
      <alignment horizontal="center" vertical="center" wrapText="1"/>
    </xf>
    <xf numFmtId="0" fontId="12" fillId="0" borderId="14" xfId="0" applyFont="1" applyBorder="1" applyAlignment="1">
      <alignment horizontal="center" vertical="center" wrapText="1"/>
    </xf>
    <xf numFmtId="0" fontId="0" fillId="8" borderId="18" xfId="0" applyFill="1" applyBorder="1">
      <alignment vertical="center"/>
    </xf>
    <xf numFmtId="0" fontId="13"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0" fillId="0" borderId="15" xfId="0" applyBorder="1" applyAlignment="1">
      <alignment horizontal="center" vertical="center"/>
    </xf>
    <xf numFmtId="0" fontId="0" fillId="0" borderId="17" xfId="0" applyBorder="1" applyAlignment="1">
      <alignment horizontal="center" vertical="center"/>
    </xf>
    <xf numFmtId="0" fontId="9" fillId="0" borderId="1" xfId="0" applyFont="1" applyBorder="1" applyAlignment="1">
      <alignment horizontal="left" vertical="top" wrapText="1"/>
    </xf>
    <xf numFmtId="0" fontId="9"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0" fontId="9" fillId="8" borderId="14" xfId="0" applyNumberFormat="1" applyFont="1" applyFill="1" applyBorder="1" applyAlignment="1">
      <alignment horizontal="center" vertical="center"/>
    </xf>
    <xf numFmtId="0" fontId="9" fillId="8" borderId="15" xfId="0" applyNumberFormat="1" applyFont="1" applyFill="1" applyBorder="1" applyAlignment="1">
      <alignment horizontal="center" vertical="center"/>
    </xf>
    <xf numFmtId="0" fontId="9" fillId="8" borderId="17" xfId="0" applyNumberFormat="1" applyFont="1" applyFill="1" applyBorder="1" applyAlignment="1">
      <alignment horizontal="center" vertical="center"/>
    </xf>
    <xf numFmtId="0" fontId="9" fillId="9" borderId="1" xfId="0" applyNumberFormat="1" applyFont="1" applyFill="1" applyBorder="1" applyAlignment="1">
      <alignment horizontal="center" wrapText="1"/>
    </xf>
    <xf numFmtId="0" fontId="9" fillId="9" borderId="1" xfId="0" applyNumberFormat="1" applyFont="1" applyFill="1" applyBorder="1" applyAlignment="1">
      <alignment horizontal="centerContinuous" wrapText="1"/>
    </xf>
    <xf numFmtId="179" fontId="11" fillId="10" borderId="1" xfId="0" applyNumberFormat="1" applyFont="1" applyFill="1" applyBorder="1" applyAlignment="1">
      <alignment horizontal="center" vertical="center"/>
    </xf>
    <xf numFmtId="49" fontId="11" fillId="10" borderId="1" xfId="0" applyNumberFormat="1" applyFont="1" applyFill="1" applyBorder="1" applyAlignment="1">
      <alignment horizontal="centerContinuous" vertical="center"/>
    </xf>
    <xf numFmtId="0" fontId="10" fillId="10" borderId="1" xfId="0" applyNumberFormat="1" applyFont="1" applyFill="1" applyBorder="1" applyAlignment="1">
      <alignment horizontal="centerContinuous" vertical="center"/>
    </xf>
    <xf numFmtId="0" fontId="16" fillId="10" borderId="1" xfId="0" applyNumberFormat="1" applyFont="1" applyFill="1" applyBorder="1" applyAlignment="1">
      <alignment horizontal="centerContinuous" vertical="center"/>
    </xf>
    <xf numFmtId="179" fontId="9" fillId="10" borderId="14" xfId="0" applyNumberFormat="1" applyFont="1" applyFill="1" applyBorder="1" applyAlignment="1">
      <alignment horizontal="center" vertical="center"/>
    </xf>
    <xf numFmtId="179" fontId="9" fillId="10" borderId="17" xfId="0" applyNumberFormat="1" applyFont="1" applyFill="1" applyBorder="1" applyAlignment="1">
      <alignment horizontal="center" vertical="center"/>
    </xf>
    <xf numFmtId="49" fontId="9" fillId="10" borderId="1" xfId="0" applyNumberFormat="1" applyFont="1" applyFill="1" applyBorder="1" applyAlignment="1">
      <alignment horizontal="centerContinuous" vertical="center"/>
    </xf>
    <xf numFmtId="0" fontId="11" fillId="10" borderId="1" xfId="0" applyNumberFormat="1" applyFont="1" applyFill="1" applyBorder="1" applyAlignment="1">
      <alignment vertical="center"/>
    </xf>
    <xf numFmtId="0" fontId="0" fillId="0" borderId="1" xfId="0" applyFont="1" applyBorder="1" applyAlignment="1">
      <alignment horizontal="center" vertical="center"/>
    </xf>
    <xf numFmtId="0" fontId="9" fillId="8" borderId="0" xfId="0" applyNumberFormat="1" applyFont="1" applyFill="1" applyBorder="1" applyAlignment="1"/>
    <xf numFmtId="0" fontId="0" fillId="9" borderId="14" xfId="0" applyNumberFormat="1" applyFont="1" applyFill="1" applyBorder="1" applyAlignment="1">
      <alignment horizontal="center"/>
    </xf>
    <xf numFmtId="0" fontId="9" fillId="9" borderId="17" xfId="0" applyNumberFormat="1" applyFont="1" applyFill="1" applyBorder="1" applyAlignment="1">
      <alignment horizontal="center"/>
    </xf>
    <xf numFmtId="0" fontId="0" fillId="9" borderId="1" xfId="0" applyNumberFormat="1" applyFont="1" applyFill="1" applyBorder="1" applyAlignment="1">
      <alignment horizontal="center" vertical="center"/>
    </xf>
    <xf numFmtId="0" fontId="9" fillId="9" borderId="1" xfId="0" applyNumberFormat="1" applyFont="1" applyFill="1" applyBorder="1" applyAlignment="1">
      <alignment horizontal="center" vertical="center"/>
    </xf>
    <xf numFmtId="0" fontId="9" fillId="0" borderId="16" xfId="0" applyNumberFormat="1" applyFont="1" applyBorder="1" applyAlignment="1"/>
    <xf numFmtId="0" fontId="17" fillId="9" borderId="14" xfId="0" applyNumberFormat="1" applyFont="1" applyFill="1" applyBorder="1" applyAlignment="1">
      <alignment horizontal="center"/>
    </xf>
    <xf numFmtId="0" fontId="18" fillId="9" borderId="17" xfId="0" applyNumberFormat="1" applyFont="1" applyFill="1" applyBorder="1" applyAlignment="1">
      <alignment horizontal="center"/>
    </xf>
    <xf numFmtId="0" fontId="9" fillId="11" borderId="1" xfId="0" applyNumberFormat="1" applyFont="1" applyFill="1" applyBorder="1" applyAlignment="1" applyProtection="1">
      <alignment horizontal="center"/>
    </xf>
    <xf numFmtId="10" fontId="9" fillId="11" borderId="1" xfId="0" applyNumberFormat="1" applyFont="1" applyFill="1" applyBorder="1" applyAlignment="1" applyProtection="1">
      <alignment horizontal="center"/>
    </xf>
    <xf numFmtId="0" fontId="0" fillId="9" borderId="17" xfId="0" applyNumberFormat="1" applyFont="1" applyFill="1" applyBorder="1" applyAlignment="1">
      <alignment horizontal="center"/>
    </xf>
    <xf numFmtId="0" fontId="0" fillId="8" borderId="19" xfId="0" applyFill="1" applyBorder="1">
      <alignment vertical="center"/>
    </xf>
    <xf numFmtId="0" fontId="0" fillId="8" borderId="20" xfId="0" applyFill="1" applyBorder="1">
      <alignment vertical="center"/>
    </xf>
    <xf numFmtId="0" fontId="0" fillId="0" borderId="20" xfId="0" applyBorder="1">
      <alignment vertical="center"/>
    </xf>
    <xf numFmtId="0" fontId="19" fillId="0" borderId="11" xfId="6" applyFont="1" applyBorder="1" applyAlignment="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D5"/>
      <color rgb="000066FF"/>
      <color rgb="0066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104775</xdr:colOff>
      <xdr:row>0</xdr:row>
      <xdr:rowOff>0</xdr:rowOff>
    </xdr:from>
    <xdr:to>
      <xdr:col>5</xdr:col>
      <xdr:colOff>2141220</xdr:colOff>
      <xdr:row>0</xdr:row>
      <xdr:rowOff>571500</xdr:rowOff>
    </xdr:to>
    <xdr:pic>
      <xdr:nvPicPr>
        <xdr:cNvPr id="1033" name="图片 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6217285" y="0"/>
          <a:ext cx="203644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tabSelected="1" zoomScale="146" zoomScaleNormal="146" topLeftCell="B6" workbookViewId="0">
      <selection activeCell="E26" sqref="E26"/>
    </sheetView>
  </sheetViews>
  <sheetFormatPr defaultColWidth="9" defaultRowHeight="17.6"/>
  <cols>
    <col min="1" max="1" width="7.72321428571429" style="36" customWidth="1"/>
    <col min="2" max="2" width="25.2232142857143" style="37" customWidth="1"/>
    <col min="3" max="3" width="7" style="37" customWidth="1"/>
    <col min="4" max="4" width="21.5" style="37" customWidth="1"/>
    <col min="5" max="5" width="24.5" style="37" customWidth="1"/>
    <col min="6" max="6" width="38.6875" style="37" customWidth="1"/>
    <col min="7" max="7" width="17.2232142857143" style="37" customWidth="1"/>
    <col min="8" max="16384" width="9" style="37"/>
  </cols>
  <sheetData>
    <row r="1" ht="51" customHeight="1" spans="1:8">
      <c r="A1" s="38"/>
      <c r="B1" s="39" t="s">
        <v>0</v>
      </c>
      <c r="C1" s="40"/>
      <c r="D1" s="40"/>
      <c r="E1" s="40"/>
      <c r="F1" s="40"/>
      <c r="G1" s="41"/>
    </row>
    <row r="2" ht="31.5" customHeight="1" spans="1:8">
      <c r="A2" s="42"/>
      <c r="B2" s="43" t="s">
        <v>1</v>
      </c>
      <c r="C2" s="44"/>
      <c r="D2" s="44"/>
      <c r="E2" s="39" t="s">
        <v>2</v>
      </c>
      <c r="F2" s="39"/>
      <c r="G2" s="45"/>
    </row>
    <row r="3" ht="23.25" customHeight="1" spans="1:8">
      <c r="A3" s="42"/>
      <c r="B3" s="46" t="s">
        <v>3</v>
      </c>
      <c r="C3" s="47"/>
      <c r="D3" s="48"/>
      <c r="E3" s="49" t="s">
        <v>4</v>
      </c>
      <c r="F3" s="50"/>
      <c r="G3" s="45"/>
    </row>
    <row r="4" ht="36" spans="1:8">
      <c r="A4" s="42"/>
      <c r="B4" s="43" t="s">
        <v>5</v>
      </c>
      <c r="C4" s="51"/>
      <c r="D4" s="43" t="s">
        <v>6</v>
      </c>
      <c r="E4" s="49" t="s">
        <v>7</v>
      </c>
      <c r="F4" s="50"/>
      <c r="G4" s="45"/>
    </row>
    <row r="5" ht="27.75" customHeight="1" spans="1:8">
      <c r="A5" s="42"/>
      <c r="B5" s="52" t="s">
        <v>8</v>
      </c>
      <c r="C5" s="48"/>
      <c r="D5" s="53" t="s">
        <v>9</v>
      </c>
      <c r="E5" s="54" t="s">
        <v>10</v>
      </c>
      <c r="F5" s="50"/>
      <c r="G5" s="45"/>
    </row>
    <row r="6" ht="101.25" customHeight="1" spans="1:8">
      <c r="A6" s="55"/>
      <c r="B6" s="56" t="s">
        <v>11</v>
      </c>
      <c r="C6" s="57"/>
      <c r="D6" s="57"/>
      <c r="E6" s="58"/>
      <c r="F6" s="59"/>
      <c r="G6" s="45"/>
    </row>
    <row r="7" ht="36" spans="1:8">
      <c r="A7" s="42"/>
      <c r="B7" s="60" t="s">
        <v>12</v>
      </c>
      <c r="C7" s="39" t="s">
        <v>13</v>
      </c>
      <c r="D7" s="61"/>
      <c r="E7" s="60" t="s">
        <v>14</v>
      </c>
      <c r="F7" s="62">
        <v>46231</v>
      </c>
      <c r="G7" s="45"/>
    </row>
    <row r="8" ht="36" spans="1:8">
      <c r="A8" s="42"/>
      <c r="B8" s="60" t="s">
        <v>15</v>
      </c>
      <c r="C8" s="39"/>
      <c r="D8" s="61"/>
      <c r="E8" s="60" t="s">
        <v>14</v>
      </c>
      <c r="F8" s="62" t="s">
        <v>16</v>
      </c>
      <c r="G8" s="45"/>
    </row>
    <row r="9" ht="36" spans="1:8">
      <c r="A9" s="42"/>
      <c r="B9" s="60" t="s">
        <v>17</v>
      </c>
      <c r="C9" s="61"/>
      <c r="D9" s="61"/>
      <c r="E9" s="60" t="s">
        <v>14</v>
      </c>
      <c r="F9" s="62" t="s">
        <v>16</v>
      </c>
      <c r="G9" s="45"/>
    </row>
    <row r="10" ht="28.5" customHeight="1" spans="1:8">
      <c r="A10" s="42"/>
      <c r="B10" s="63" t="s">
        <v>18</v>
      </c>
      <c r="C10" s="64"/>
      <c r="D10" s="64"/>
      <c r="E10" s="64"/>
      <c r="F10" s="65"/>
      <c r="G10" s="45"/>
      <c r="H10" s="45"/>
    </row>
    <row r="11" ht="36" spans="1:8">
      <c r="A11" s="42"/>
      <c r="B11" s="66" t="s">
        <v>19</v>
      </c>
      <c r="C11" s="66"/>
      <c r="D11" s="66" t="s">
        <v>20</v>
      </c>
      <c r="E11" s="67" t="s">
        <v>21</v>
      </c>
      <c r="F11" s="66" t="s">
        <v>22</v>
      </c>
      <c r="G11" s="45"/>
      <c r="H11" s="45"/>
    </row>
    <row r="12" ht="18" spans="1:8">
      <c r="A12" s="42"/>
      <c r="B12" s="68">
        <v>46231</v>
      </c>
      <c r="C12" s="68"/>
      <c r="D12" s="69" t="s">
        <v>23</v>
      </c>
      <c r="E12" s="70" t="s">
        <v>24</v>
      </c>
      <c r="F12" s="71" t="s">
        <v>25</v>
      </c>
      <c r="G12" s="45"/>
      <c r="H12" s="45"/>
    </row>
    <row r="13" spans="1:8">
      <c r="A13" s="42"/>
      <c r="B13" s="72"/>
      <c r="C13" s="73"/>
      <c r="D13" s="74"/>
      <c r="E13" s="75"/>
      <c r="F13" s="75"/>
      <c r="H13" s="45"/>
    </row>
    <row r="14" spans="1:8">
      <c r="A14" s="42"/>
      <c r="B14" s="72"/>
      <c r="C14" s="73"/>
      <c r="D14" s="74"/>
      <c r="E14" s="75"/>
      <c r="F14" s="75"/>
      <c r="H14" s="45"/>
    </row>
    <row r="15" spans="1:8">
      <c r="A15" s="42"/>
      <c r="B15" s="72"/>
      <c r="C15" s="73"/>
      <c r="D15" s="74"/>
      <c r="E15" s="75"/>
      <c r="F15" s="75"/>
      <c r="H15" s="45"/>
    </row>
    <row r="16" spans="1:8">
      <c r="A16" s="42"/>
      <c r="B16" s="72"/>
      <c r="C16" s="73"/>
      <c r="D16" s="74"/>
      <c r="E16" s="75"/>
      <c r="F16" s="75"/>
      <c r="H16" s="45"/>
    </row>
    <row r="17" spans="1:9">
      <c r="A17" s="42"/>
      <c r="B17" s="72"/>
      <c r="C17" s="73"/>
      <c r="D17" s="74"/>
      <c r="E17" s="75"/>
      <c r="F17" s="75"/>
      <c r="H17" s="45"/>
    </row>
    <row r="18" ht="28.5" customHeight="1" spans="1:9">
      <c r="A18" s="38"/>
      <c r="B18" s="76" t="s">
        <v>26</v>
      </c>
      <c r="C18" s="76"/>
      <c r="D18" s="76"/>
      <c r="E18" s="76"/>
      <c r="F18" s="76"/>
      <c r="G18" s="45"/>
    </row>
    <row r="19" s="35" customFormat="1" ht="17.25" customHeight="1" spans="1:9">
      <c r="A19" s="77"/>
      <c r="B19" s="78" t="s">
        <v>27</v>
      </c>
      <c r="C19" s="79"/>
      <c r="D19" s="80" t="s">
        <v>28</v>
      </c>
      <c r="E19" s="81" t="s">
        <v>29</v>
      </c>
      <c r="F19" s="80" t="s">
        <v>30</v>
      </c>
      <c r="G19" s="82"/>
      <c r="H19" s="37"/>
      <c r="I19" s="37"/>
    </row>
    <row r="20" s="35" customFormat="1" ht="17.25" customHeight="1" spans="1:9">
      <c r="A20" s="77"/>
      <c r="B20" s="83" t="s">
        <v>31</v>
      </c>
      <c r="C20" s="84"/>
      <c r="D20" s="85">
        <v>27</v>
      </c>
      <c r="E20" s="85">
        <v>27</v>
      </c>
      <c r="F20" s="86">
        <f t="shared" ref="F20:F27" si="0">IF(D20,E20/D20,0)</f>
        <v>1</v>
      </c>
      <c r="G20" s="82"/>
      <c r="H20" s="37"/>
      <c r="I20" s="37"/>
    </row>
    <row r="21" s="35" customFormat="1" ht="17.25" customHeight="1" spans="1:9">
      <c r="A21" s="77"/>
      <c r="B21" s="78" t="s">
        <v>32</v>
      </c>
      <c r="C21" s="87"/>
      <c r="D21" s="85">
        <v>16</v>
      </c>
      <c r="E21" s="85">
        <v>16</v>
      </c>
      <c r="F21" s="86">
        <f t="shared" si="0"/>
        <v>1</v>
      </c>
      <c r="G21" s="82"/>
      <c r="H21" s="37"/>
      <c r="I21" s="37"/>
    </row>
    <row r="22" s="35" customFormat="1" ht="17.25" customHeight="1" spans="1:9">
      <c r="A22" s="77"/>
      <c r="B22" s="78" t="s">
        <v>33</v>
      </c>
      <c r="C22" s="87"/>
      <c r="D22" s="85">
        <v>0</v>
      </c>
      <c r="E22" s="85">
        <v>0</v>
      </c>
      <c r="F22" s="86">
        <f t="shared" si="0"/>
        <v>0</v>
      </c>
      <c r="G22" s="82"/>
      <c r="H22" s="37"/>
      <c r="I22" s="37"/>
    </row>
    <row r="23" s="35" customFormat="1" ht="17.25" customHeight="1" spans="1:9">
      <c r="A23" s="77"/>
      <c r="B23" s="78" t="s">
        <v>34</v>
      </c>
      <c r="C23" s="87"/>
      <c r="D23" s="85">
        <v>0</v>
      </c>
      <c r="E23" s="85">
        <v>0</v>
      </c>
      <c r="F23" s="86">
        <f t="shared" si="0"/>
        <v>0</v>
      </c>
      <c r="G23" s="82"/>
      <c r="H23" s="37"/>
      <c r="I23" s="37"/>
    </row>
    <row r="24" s="35" customFormat="1" ht="17.25" customHeight="1" spans="1:9">
      <c r="A24" s="77"/>
      <c r="B24" s="78" t="s">
        <v>35</v>
      </c>
      <c r="C24" s="87"/>
      <c r="D24" s="85">
        <v>18</v>
      </c>
      <c r="E24" s="85">
        <v>18</v>
      </c>
      <c r="F24" s="86">
        <f t="shared" si="0"/>
        <v>1</v>
      </c>
      <c r="G24" s="82"/>
      <c r="H24" s="37"/>
      <c r="I24" s="37"/>
    </row>
    <row r="25" s="35" customFormat="1" ht="17.25" customHeight="1" spans="1:9">
      <c r="A25" s="77"/>
      <c r="B25" s="78" t="s">
        <v>36</v>
      </c>
      <c r="C25" s="87"/>
      <c r="D25" s="85">
        <v>5</v>
      </c>
      <c r="E25" s="85">
        <v>5</v>
      </c>
      <c r="F25" s="86">
        <f t="shared" si="0"/>
        <v>1</v>
      </c>
      <c r="G25" s="82"/>
      <c r="H25" s="37"/>
      <c r="I25" s="37"/>
    </row>
    <row r="26" s="35" customFormat="1" ht="17.25" customHeight="1" spans="1:9">
      <c r="A26" s="77"/>
      <c r="B26" s="78" t="s">
        <v>37</v>
      </c>
      <c r="C26" s="79"/>
      <c r="D26" s="85">
        <v>0</v>
      </c>
      <c r="E26" s="85">
        <v>0</v>
      </c>
      <c r="F26" s="86">
        <f t="shared" si="0"/>
        <v>0</v>
      </c>
      <c r="G26" s="82"/>
    </row>
    <row r="27" spans="1:9">
      <c r="A27" s="88"/>
      <c r="B27" s="78" t="s">
        <v>38</v>
      </c>
      <c r="C27" s="79"/>
      <c r="D27" s="85">
        <f>SUM(D20:D26)</f>
        <v>66</v>
      </c>
      <c r="E27" s="85">
        <v>66</v>
      </c>
      <c r="F27" s="86">
        <f t="shared" si="0"/>
        <v>1</v>
      </c>
      <c r="G27" s="45"/>
    </row>
    <row r="28" spans="1:9">
      <c r="A28" s="89"/>
      <c r="B28" s="90"/>
      <c r="C28" s="90"/>
      <c r="D28" s="90"/>
      <c r="E28" s="90"/>
      <c r="F28" s="90"/>
      <c r="G28" s="90"/>
    </row>
    <row r="29" spans="1:9">
      <c r="A29" s="89"/>
      <c r="B29" s="90"/>
      <c r="C29" s="90"/>
      <c r="D29" s="90"/>
      <c r="E29" s="90"/>
      <c r="F29" s="90"/>
      <c r="G29" s="90"/>
    </row>
    <row r="30" spans="1:9">
      <c r="A30" s="89"/>
      <c r="B30" s="90"/>
      <c r="C30" s="90"/>
      <c r="D30" s="90"/>
      <c r="E30" s="90"/>
      <c r="F30" s="90"/>
      <c r="G30" s="90"/>
    </row>
    <row r="31" spans="1:9">
      <c r="B31" s="91" t="s">
        <v>39</v>
      </c>
      <c r="C31" s="91"/>
      <c r="D31" s="91"/>
    </row>
    <row r="32" spans="1:9">
      <c r="B32" s="91" t="s">
        <v>40</v>
      </c>
      <c r="C32" s="91"/>
      <c r="D32" s="91"/>
      <c r="E32" s="35"/>
      <c r="F32" s="35"/>
    </row>
    <row r="33" spans="5:6">
      <c r="E33" s="35"/>
      <c r="F33" s="35"/>
    </row>
    <row r="34" spans="5:6">
      <c r="E34" s="35"/>
      <c r="F34" s="35"/>
    </row>
    <row r="35" spans="5:6">
      <c r="E35" s="35"/>
      <c r="F35" s="35"/>
    </row>
    <row r="36" spans="5:6">
      <c r="E36" s="35"/>
      <c r="F36" s="35"/>
    </row>
  </sheetData>
  <mergeCells count="31">
    <mergeCell ref="B1:F1"/>
    <mergeCell ref="B2:D2"/>
    <mergeCell ref="E2:F2"/>
    <mergeCell ref="B3:D3"/>
    <mergeCell ref="E3:F3"/>
    <mergeCell ref="B4:C4"/>
    <mergeCell ref="E4:F4"/>
    <mergeCell ref="B5:C5"/>
    <mergeCell ref="E5:F5"/>
    <mergeCell ref="B6:F6"/>
    <mergeCell ref="C7:D7"/>
    <mergeCell ref="C8:D8"/>
    <mergeCell ref="C9:D9"/>
    <mergeCell ref="B10:F10"/>
    <mergeCell ref="B11:C11"/>
    <mergeCell ref="B12:C12"/>
    <mergeCell ref="B13:C13"/>
    <mergeCell ref="B14:C14"/>
    <mergeCell ref="B15:C15"/>
    <mergeCell ref="B16:C16"/>
    <mergeCell ref="B17:C17"/>
    <mergeCell ref="B18:F18"/>
    <mergeCell ref="B19:C19"/>
    <mergeCell ref="B20:C20"/>
    <mergeCell ref="B21:C21"/>
    <mergeCell ref="B22:C22"/>
    <mergeCell ref="B23:C23"/>
    <mergeCell ref="B24:C24"/>
    <mergeCell ref="B25:C25"/>
    <mergeCell ref="B26:C26"/>
    <mergeCell ref="B27:C27"/>
  </mergeCells>
  <hyperlinks>
    <hyperlink ref="B31" location="'Test Cases'!A1" display="测试用例详情"/>
    <hyperlink ref="B32" location="功能测试用例常用测试项!A1" display="文档帮助"/>
  </hyperlinks>
  <pageMargins left="0.75" right="0.75" top="1" bottom="1" header="0.5" footer="0.5"/>
  <pageSetup paperSize="9" orientation="portrait" verticalDpi="1200"/>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0"/>
  <sheetViews>
    <sheetView zoomScale="80" zoomScaleNormal="80" workbookViewId="0">
      <pane xSplit="3" ySplit="4" topLeftCell="D8" activePane="bottomRight" state="frozen"/>
      <selection/>
      <selection pane="topRight"/>
      <selection pane="bottomLeft"/>
      <selection pane="bottomRight" activeCell="I6" sqref="I6"/>
    </sheetView>
  </sheetViews>
  <sheetFormatPr defaultColWidth="13.1071428571429" defaultRowHeight="17.6"/>
  <cols>
    <col min="1" max="1" width="13.7232142857143" style="8" customWidth="1"/>
    <col min="2" max="2" width="9.10714285714286" style="8" customWidth="1"/>
    <col min="3" max="3" width="11.3303571428571" style="8" customWidth="1"/>
    <col min="4" max="4" width="17.7232142857143" style="8" customWidth="1"/>
    <col min="5" max="5" width="11.7232142857143" style="9" customWidth="1"/>
    <col min="6" max="6" width="16.5" style="8" customWidth="1"/>
    <col min="7" max="7" width="21.7232142857143" style="8" customWidth="1"/>
    <col min="8" max="8" width="14.5" style="8" customWidth="1"/>
    <col min="9" max="9" width="15" style="8" customWidth="1"/>
    <col min="10" max="10" width="8.83035714285714" style="8" customWidth="1"/>
    <col min="11" max="11" width="16.5" style="8" customWidth="1"/>
    <col min="12" max="12" width="5" style="10" hidden="1" customWidth="1"/>
    <col min="13" max="13" width="21.5" style="8" customWidth="1"/>
    <col min="14" max="39" width="13.1071428571429" style="11"/>
    <col min="40" max="40" width="13.2232142857143" style="11" customWidth="1"/>
    <col min="41" max="41" width="4.33035714285714" style="11" hidden="1" customWidth="1"/>
    <col min="42" max="16384" width="13.1071428571429" style="11"/>
  </cols>
  <sheetData>
    <row r="1" ht="9.35" customHeight="1" spans="1:13">
      <c r="A1" s="12" t="s">
        <v>41</v>
      </c>
      <c r="B1" s="13"/>
      <c r="C1" s="13"/>
      <c r="D1" s="13"/>
      <c r="E1" s="13"/>
      <c r="F1" s="13"/>
      <c r="G1" s="13"/>
      <c r="H1" s="13"/>
      <c r="I1" s="13"/>
      <c r="J1" s="13"/>
      <c r="K1" s="13"/>
      <c r="L1" s="14"/>
      <c r="M1" s="14"/>
    </row>
    <row r="2" ht="9.6" customHeight="1" spans="1:13">
      <c r="A2" s="12"/>
      <c r="B2" s="13"/>
      <c r="C2" s="13"/>
      <c r="D2" s="13"/>
      <c r="E2" s="13"/>
      <c r="F2" s="13"/>
      <c r="G2" s="13"/>
      <c r="H2" s="13"/>
      <c r="I2" s="13"/>
      <c r="J2" s="13"/>
      <c r="K2" s="13"/>
      <c r="L2" s="14"/>
      <c r="M2" s="14"/>
    </row>
    <row r="3" ht="13.5" customHeight="1" spans="1:13">
      <c r="A3" s="12"/>
      <c r="B3" s="13"/>
      <c r="C3" s="13"/>
      <c r="D3" s="13"/>
      <c r="E3" s="13"/>
      <c r="F3" s="13"/>
      <c r="G3" s="13"/>
      <c r="H3" s="13"/>
      <c r="I3" s="13"/>
      <c r="J3" s="13"/>
      <c r="K3" s="13"/>
      <c r="L3" s="14"/>
      <c r="M3" s="14"/>
    </row>
    <row r="4" ht="53" spans="1:13">
      <c r="A4" s="15" t="s">
        <v>42</v>
      </c>
      <c r="B4" s="15" t="s">
        <v>43</v>
      </c>
      <c r="C4" s="15" t="s">
        <v>44</v>
      </c>
      <c r="D4" s="15" t="s">
        <v>45</v>
      </c>
      <c r="E4" s="15" t="s">
        <v>46</v>
      </c>
      <c r="F4" s="15" t="s">
        <v>47</v>
      </c>
      <c r="G4" s="15" t="s">
        <v>48</v>
      </c>
      <c r="H4" s="15" t="s">
        <v>49</v>
      </c>
      <c r="I4" s="15" t="s">
        <v>50</v>
      </c>
      <c r="J4" s="15" t="s">
        <v>51</v>
      </c>
      <c r="K4" s="15" t="s">
        <v>52</v>
      </c>
      <c r="L4" s="16"/>
      <c r="M4" s="15" t="s">
        <v>53</v>
      </c>
    </row>
    <row r="5" s="7" customFormat="1" ht="117" customHeight="1" spans="1:13">
      <c r="A5" s="17" t="s">
        <v>54</v>
      </c>
      <c r="B5" s="17" t="s">
        <v>55</v>
      </c>
      <c r="C5" s="17" t="s">
        <v>31</v>
      </c>
      <c r="D5" s="17" t="s">
        <v>56</v>
      </c>
      <c r="E5" s="18" t="s">
        <v>57</v>
      </c>
      <c r="F5" s="17" t="s">
        <v>58</v>
      </c>
      <c r="G5" s="17" t="s">
        <v>59</v>
      </c>
      <c r="H5" s="17" t="s">
        <v>60</v>
      </c>
      <c r="I5" s="17"/>
      <c r="J5" s="17" t="s">
        <v>61</v>
      </c>
      <c r="K5" s="17"/>
      <c r="L5" s="19"/>
      <c r="M5" s="17" t="s">
        <v>62</v>
      </c>
    </row>
    <row r="6" s="7" customFormat="1" ht="141" spans="1:13">
      <c r="A6" s="17" t="s">
        <v>63</v>
      </c>
      <c r="B6" s="17" t="s">
        <v>64</v>
      </c>
      <c r="C6" s="17" t="s">
        <v>31</v>
      </c>
      <c r="D6" s="17" t="s">
        <v>65</v>
      </c>
      <c r="E6" s="18" t="s">
        <v>57</v>
      </c>
      <c r="F6" s="17" t="s">
        <v>66</v>
      </c>
      <c r="G6" s="17" t="s">
        <v>67</v>
      </c>
      <c r="H6" s="17" t="s">
        <v>68</v>
      </c>
      <c r="I6" s="17"/>
      <c r="J6" s="17" t="s">
        <v>61</v>
      </c>
      <c r="K6" s="17"/>
      <c r="L6" s="19"/>
      <c r="M6" s="17" t="s">
        <v>62</v>
      </c>
    </row>
    <row r="7" s="7" customFormat="1" ht="124" spans="1:13">
      <c r="A7" s="17" t="s">
        <v>69</v>
      </c>
      <c r="B7" s="17" t="s">
        <v>64</v>
      </c>
      <c r="C7" s="17" t="s">
        <v>31</v>
      </c>
      <c r="D7" s="17" t="s">
        <v>70</v>
      </c>
      <c r="E7" s="18" t="s">
        <v>71</v>
      </c>
      <c r="F7" s="17" t="s">
        <v>72</v>
      </c>
      <c r="G7" s="17" t="s">
        <v>73</v>
      </c>
      <c r="H7" s="17" t="s">
        <v>74</v>
      </c>
      <c r="I7" s="17"/>
      <c r="J7" s="17" t="s">
        <v>61</v>
      </c>
      <c r="K7" s="17"/>
      <c r="L7" s="19"/>
      <c r="M7" s="17" t="s">
        <v>62</v>
      </c>
    </row>
    <row r="8" s="7" customFormat="1" ht="141" spans="1:13">
      <c r="A8" s="17" t="s">
        <v>75</v>
      </c>
      <c r="B8" s="17" t="s">
        <v>76</v>
      </c>
      <c r="C8" s="17" t="s">
        <v>31</v>
      </c>
      <c r="D8" s="17" t="s">
        <v>77</v>
      </c>
      <c r="E8" s="18" t="s">
        <v>57</v>
      </c>
      <c r="F8" s="17" t="s">
        <v>78</v>
      </c>
      <c r="G8" s="17" t="s">
        <v>79</v>
      </c>
      <c r="H8" s="17" t="s">
        <v>80</v>
      </c>
      <c r="I8" s="17"/>
      <c r="J8" s="17" t="s">
        <v>61</v>
      </c>
      <c r="K8" s="17"/>
      <c r="L8" s="19"/>
      <c r="M8" s="17" t="s">
        <v>81</v>
      </c>
    </row>
    <row r="9" s="7" customFormat="1" ht="124" spans="1:13">
      <c r="A9" s="17" t="s">
        <v>82</v>
      </c>
      <c r="B9" s="17" t="s">
        <v>83</v>
      </c>
      <c r="C9" s="17" t="s">
        <v>31</v>
      </c>
      <c r="D9" s="17" t="s">
        <v>84</v>
      </c>
      <c r="E9" s="18" t="s">
        <v>57</v>
      </c>
      <c r="F9" s="17" t="s">
        <v>85</v>
      </c>
      <c r="G9" s="17" t="s">
        <v>86</v>
      </c>
      <c r="H9" s="17" t="s">
        <v>87</v>
      </c>
      <c r="I9" s="17"/>
      <c r="J9" s="17" t="s">
        <v>61</v>
      </c>
      <c r="K9" s="17"/>
      <c r="L9" s="19"/>
      <c r="M9" s="17" t="s">
        <v>62</v>
      </c>
    </row>
    <row r="10" s="7" customFormat="1" ht="159" spans="1:13">
      <c r="A10" s="17" t="s">
        <v>88</v>
      </c>
      <c r="B10" s="17" t="s">
        <v>89</v>
      </c>
      <c r="C10" s="17" t="s">
        <v>31</v>
      </c>
      <c r="D10" s="17" t="s">
        <v>90</v>
      </c>
      <c r="E10" s="18" t="s">
        <v>57</v>
      </c>
      <c r="F10" s="17" t="s">
        <v>91</v>
      </c>
      <c r="G10" s="17" t="s">
        <v>92</v>
      </c>
      <c r="H10" s="17" t="s">
        <v>93</v>
      </c>
      <c r="I10" s="17"/>
      <c r="J10" s="17" t="s">
        <v>61</v>
      </c>
      <c r="K10" s="17"/>
      <c r="L10" s="19"/>
      <c r="M10" s="17" t="s">
        <v>94</v>
      </c>
    </row>
    <row r="11" s="7" customFormat="1" ht="159" spans="1:13">
      <c r="A11" s="17" t="s">
        <v>95</v>
      </c>
      <c r="B11" s="17" t="s">
        <v>89</v>
      </c>
      <c r="C11" s="17" t="s">
        <v>31</v>
      </c>
      <c r="D11" s="17" t="s">
        <v>96</v>
      </c>
      <c r="E11" s="18" t="s">
        <v>71</v>
      </c>
      <c r="F11" s="17" t="s">
        <v>97</v>
      </c>
      <c r="G11" s="17" t="s">
        <v>98</v>
      </c>
      <c r="H11" s="17" t="s">
        <v>99</v>
      </c>
      <c r="I11" s="17"/>
      <c r="J11" s="17" t="s">
        <v>61</v>
      </c>
      <c r="K11" s="17"/>
      <c r="L11" s="19"/>
      <c r="M11" s="17" t="s">
        <v>62</v>
      </c>
    </row>
    <row r="12" s="7" customFormat="1" ht="141" spans="1:13">
      <c r="A12" s="17" t="s">
        <v>100</v>
      </c>
      <c r="B12" s="17" t="s">
        <v>101</v>
      </c>
      <c r="C12" s="17" t="s">
        <v>31</v>
      </c>
      <c r="D12" s="17" t="s">
        <v>102</v>
      </c>
      <c r="E12" s="18" t="s">
        <v>57</v>
      </c>
      <c r="F12" s="17" t="s">
        <v>103</v>
      </c>
      <c r="G12" s="17" t="s">
        <v>104</v>
      </c>
      <c r="H12" s="17" t="s">
        <v>105</v>
      </c>
      <c r="I12" s="17"/>
      <c r="J12" s="17" t="s">
        <v>61</v>
      </c>
      <c r="K12" s="17"/>
      <c r="L12" s="19"/>
      <c r="M12" s="17" t="s">
        <v>94</v>
      </c>
    </row>
    <row r="13" s="7" customFormat="1" ht="141" spans="1:13">
      <c r="A13" s="17" t="s">
        <v>106</v>
      </c>
      <c r="B13" s="17" t="s">
        <v>107</v>
      </c>
      <c r="C13" s="17" t="s">
        <v>31</v>
      </c>
      <c r="D13" s="17" t="s">
        <v>108</v>
      </c>
      <c r="E13" s="18" t="s">
        <v>57</v>
      </c>
      <c r="F13" s="17" t="s">
        <v>109</v>
      </c>
      <c r="G13" s="17" t="s">
        <v>110</v>
      </c>
      <c r="H13" s="17" t="s">
        <v>111</v>
      </c>
      <c r="I13" s="17"/>
      <c r="J13" s="17" t="s">
        <v>61</v>
      </c>
      <c r="K13" s="17"/>
      <c r="L13" s="19"/>
      <c r="M13" s="17" t="s">
        <v>94</v>
      </c>
    </row>
    <row r="14" s="7" customFormat="1" ht="141" spans="1:13">
      <c r="A14" s="17" t="s">
        <v>112</v>
      </c>
      <c r="B14" s="17" t="s">
        <v>113</v>
      </c>
      <c r="C14" s="17" t="s">
        <v>31</v>
      </c>
      <c r="D14" s="17" t="s">
        <v>114</v>
      </c>
      <c r="E14" s="18" t="s">
        <v>71</v>
      </c>
      <c r="F14" s="17" t="s">
        <v>115</v>
      </c>
      <c r="G14" s="17" t="s">
        <v>116</v>
      </c>
      <c r="H14" s="17" t="s">
        <v>117</v>
      </c>
      <c r="I14" s="17"/>
      <c r="J14" s="17" t="s">
        <v>61</v>
      </c>
      <c r="K14" s="17"/>
      <c r="L14" s="19"/>
      <c r="M14" s="17" t="s">
        <v>94</v>
      </c>
    </row>
    <row r="15" s="7" customFormat="1" ht="141" spans="1:13">
      <c r="A15" s="17" t="s">
        <v>118</v>
      </c>
      <c r="B15" s="17" t="s">
        <v>119</v>
      </c>
      <c r="C15" s="17" t="s">
        <v>31</v>
      </c>
      <c r="D15" s="17" t="s">
        <v>120</v>
      </c>
      <c r="E15" s="18" t="s">
        <v>71</v>
      </c>
      <c r="F15" s="17" t="s">
        <v>121</v>
      </c>
      <c r="G15" s="17" t="s">
        <v>122</v>
      </c>
      <c r="H15" s="17" t="s">
        <v>123</v>
      </c>
      <c r="I15" s="17"/>
      <c r="J15" s="17" t="s">
        <v>61</v>
      </c>
      <c r="K15" s="17"/>
      <c r="L15" s="19"/>
      <c r="M15" s="17" t="s">
        <v>124</v>
      </c>
    </row>
    <row r="16" s="7" customFormat="1" ht="159" spans="1:13">
      <c r="A16" s="17" t="s">
        <v>125</v>
      </c>
      <c r="B16" s="17" t="s">
        <v>126</v>
      </c>
      <c r="C16" s="17" t="s">
        <v>31</v>
      </c>
      <c r="D16" s="17" t="s">
        <v>127</v>
      </c>
      <c r="E16" s="18" t="s">
        <v>57</v>
      </c>
      <c r="F16" s="17" t="s">
        <v>109</v>
      </c>
      <c r="G16" s="17" t="s">
        <v>128</v>
      </c>
      <c r="H16" s="17" t="s">
        <v>129</v>
      </c>
      <c r="I16" s="17"/>
      <c r="J16" s="17" t="s">
        <v>61</v>
      </c>
      <c r="K16" s="17"/>
      <c r="L16" s="19"/>
      <c r="M16" s="17" t="s">
        <v>94</v>
      </c>
    </row>
    <row r="17" s="7" customFormat="1" ht="124" spans="1:13">
      <c r="A17" s="17" t="s">
        <v>130</v>
      </c>
      <c r="B17" s="17" t="s">
        <v>131</v>
      </c>
      <c r="C17" s="17" t="s">
        <v>31</v>
      </c>
      <c r="D17" s="17" t="s">
        <v>132</v>
      </c>
      <c r="E17" s="18" t="s">
        <v>57</v>
      </c>
      <c r="F17" s="17" t="s">
        <v>133</v>
      </c>
      <c r="G17" s="17" t="s">
        <v>134</v>
      </c>
      <c r="H17" s="17" t="s">
        <v>135</v>
      </c>
      <c r="I17" s="17"/>
      <c r="J17" s="17" t="s">
        <v>61</v>
      </c>
      <c r="K17" s="17"/>
      <c r="L17" s="19"/>
      <c r="M17" s="17" t="s">
        <v>94</v>
      </c>
    </row>
    <row r="18" s="7" customFormat="1" ht="159" spans="1:13">
      <c r="A18" s="17" t="s">
        <v>136</v>
      </c>
      <c r="B18" s="17" t="s">
        <v>137</v>
      </c>
      <c r="C18" s="17" t="s">
        <v>31</v>
      </c>
      <c r="D18" s="17" t="s">
        <v>138</v>
      </c>
      <c r="E18" s="18" t="s">
        <v>57</v>
      </c>
      <c r="F18" s="17" t="s">
        <v>139</v>
      </c>
      <c r="G18" s="17" t="s">
        <v>140</v>
      </c>
      <c r="H18" s="17" t="s">
        <v>141</v>
      </c>
      <c r="I18" s="17"/>
      <c r="J18" s="17" t="s">
        <v>61</v>
      </c>
      <c r="K18" s="17"/>
      <c r="L18" s="19"/>
      <c r="M18" s="17" t="s">
        <v>94</v>
      </c>
    </row>
    <row r="19" s="7" customFormat="1" ht="141" spans="1:13">
      <c r="A19" s="17" t="s">
        <v>142</v>
      </c>
      <c r="B19" s="17" t="s">
        <v>143</v>
      </c>
      <c r="C19" s="17" t="s">
        <v>31</v>
      </c>
      <c r="D19" s="17" t="s">
        <v>144</v>
      </c>
      <c r="E19" s="18" t="s">
        <v>57</v>
      </c>
      <c r="F19" s="17" t="s">
        <v>145</v>
      </c>
      <c r="G19" s="17" t="s">
        <v>146</v>
      </c>
      <c r="H19" s="17" t="s">
        <v>147</v>
      </c>
      <c r="I19" s="17"/>
      <c r="J19" s="17" t="s">
        <v>61</v>
      </c>
      <c r="K19" s="17"/>
      <c r="L19" s="19"/>
      <c r="M19" s="17" t="s">
        <v>124</v>
      </c>
    </row>
    <row r="20" ht="141" spans="1:13">
      <c r="A20" s="17" t="s">
        <v>148</v>
      </c>
      <c r="B20" s="17" t="s">
        <v>143</v>
      </c>
      <c r="C20" s="17" t="s">
        <v>31</v>
      </c>
      <c r="D20" s="17" t="s">
        <v>149</v>
      </c>
      <c r="E20" s="18" t="s">
        <v>71</v>
      </c>
      <c r="F20" s="17" t="s">
        <v>150</v>
      </c>
      <c r="G20" s="17" t="s">
        <v>151</v>
      </c>
      <c r="H20" s="17" t="s">
        <v>152</v>
      </c>
      <c r="I20" s="17"/>
      <c r="J20" s="17" t="s">
        <v>61</v>
      </c>
      <c r="K20" s="17"/>
      <c r="L20" s="19"/>
      <c r="M20" s="17" t="s">
        <v>153</v>
      </c>
    </row>
    <row r="21" ht="159" spans="1:13">
      <c r="A21" s="17" t="s">
        <v>154</v>
      </c>
      <c r="B21" s="17" t="s">
        <v>155</v>
      </c>
      <c r="C21" s="17" t="s">
        <v>31</v>
      </c>
      <c r="D21" s="17" t="s">
        <v>156</v>
      </c>
      <c r="E21" s="18" t="s">
        <v>57</v>
      </c>
      <c r="F21" s="17" t="s">
        <v>157</v>
      </c>
      <c r="G21" s="17" t="s">
        <v>158</v>
      </c>
      <c r="H21" s="17" t="s">
        <v>159</v>
      </c>
      <c r="I21" s="17"/>
      <c r="J21" s="17" t="s">
        <v>61</v>
      </c>
      <c r="K21" s="17"/>
      <c r="L21" s="19"/>
      <c r="M21" s="17" t="s">
        <v>160</v>
      </c>
    </row>
    <row r="22" ht="124" spans="1:13">
      <c r="A22" s="17" t="s">
        <v>161</v>
      </c>
      <c r="B22" s="17" t="s">
        <v>155</v>
      </c>
      <c r="C22" s="17" t="s">
        <v>31</v>
      </c>
      <c r="D22" s="17" t="s">
        <v>162</v>
      </c>
      <c r="E22" s="18" t="s">
        <v>71</v>
      </c>
      <c r="F22" s="17" t="s">
        <v>163</v>
      </c>
      <c r="G22" s="17" t="s">
        <v>164</v>
      </c>
      <c r="H22" s="17" t="s">
        <v>165</v>
      </c>
      <c r="I22" s="17"/>
      <c r="J22" s="17" t="s">
        <v>61</v>
      </c>
      <c r="K22" s="17"/>
      <c r="L22" s="19"/>
      <c r="M22" s="17" t="s">
        <v>166</v>
      </c>
    </row>
    <row r="23" ht="124" spans="1:13">
      <c r="A23" s="17" t="s">
        <v>167</v>
      </c>
      <c r="B23" s="17" t="s">
        <v>168</v>
      </c>
      <c r="C23" s="17" t="s">
        <v>31</v>
      </c>
      <c r="D23" s="17" t="s">
        <v>169</v>
      </c>
      <c r="E23" s="18" t="s">
        <v>57</v>
      </c>
      <c r="F23" s="17" t="s">
        <v>170</v>
      </c>
      <c r="G23" s="17" t="s">
        <v>171</v>
      </c>
      <c r="H23" s="17" t="s">
        <v>172</v>
      </c>
      <c r="I23" s="17"/>
      <c r="J23" s="17" t="s">
        <v>61</v>
      </c>
      <c r="K23" s="17"/>
      <c r="L23" s="19"/>
      <c r="M23" s="17" t="s">
        <v>94</v>
      </c>
    </row>
    <row r="24" ht="124" spans="1:13">
      <c r="A24" s="17" t="s">
        <v>173</v>
      </c>
      <c r="B24" s="17" t="s">
        <v>168</v>
      </c>
      <c r="C24" s="17" t="s">
        <v>31</v>
      </c>
      <c r="D24" s="17" t="s">
        <v>174</v>
      </c>
      <c r="E24" s="18" t="s">
        <v>71</v>
      </c>
      <c r="F24" s="17" t="s">
        <v>175</v>
      </c>
      <c r="G24" s="17" t="s">
        <v>176</v>
      </c>
      <c r="H24" s="17" t="s">
        <v>177</v>
      </c>
      <c r="I24" s="17"/>
      <c r="J24" s="17" t="s">
        <v>61</v>
      </c>
      <c r="K24" s="17"/>
      <c r="L24" s="19"/>
      <c r="M24" s="17" t="s">
        <v>124</v>
      </c>
    </row>
    <row r="25" ht="159" spans="1:13">
      <c r="A25" s="17" t="s">
        <v>178</v>
      </c>
      <c r="B25" s="17" t="s">
        <v>179</v>
      </c>
      <c r="C25" s="17" t="s">
        <v>31</v>
      </c>
      <c r="D25" s="17" t="s">
        <v>180</v>
      </c>
      <c r="E25" s="18" t="s">
        <v>57</v>
      </c>
      <c r="F25" s="17" t="s">
        <v>181</v>
      </c>
      <c r="G25" s="17" t="s">
        <v>182</v>
      </c>
      <c r="H25" s="17" t="s">
        <v>183</v>
      </c>
      <c r="I25" s="17"/>
      <c r="J25" s="17" t="s">
        <v>61</v>
      </c>
      <c r="K25" s="17"/>
      <c r="L25" s="19"/>
      <c r="M25" s="17" t="s">
        <v>124</v>
      </c>
    </row>
    <row r="26" ht="141" spans="1:13">
      <c r="A26" s="17" t="s">
        <v>184</v>
      </c>
      <c r="B26" s="17" t="s">
        <v>185</v>
      </c>
      <c r="C26" s="17" t="s">
        <v>31</v>
      </c>
      <c r="D26" s="17" t="s">
        <v>186</v>
      </c>
      <c r="E26" s="18" t="s">
        <v>71</v>
      </c>
      <c r="F26" s="17" t="s">
        <v>187</v>
      </c>
      <c r="G26" s="17" t="s">
        <v>188</v>
      </c>
      <c r="H26" s="17" t="s">
        <v>189</v>
      </c>
      <c r="I26" s="17"/>
      <c r="J26" s="17" t="s">
        <v>61</v>
      </c>
      <c r="K26" s="17"/>
      <c r="L26" s="19"/>
      <c r="M26" s="17" t="s">
        <v>94</v>
      </c>
    </row>
    <row r="27" ht="141" spans="1:13">
      <c r="A27" s="17" t="s">
        <v>190</v>
      </c>
      <c r="B27" s="17" t="s">
        <v>191</v>
      </c>
      <c r="C27" s="17" t="s">
        <v>31</v>
      </c>
      <c r="D27" s="17" t="s">
        <v>192</v>
      </c>
      <c r="E27" s="18" t="s">
        <v>57</v>
      </c>
      <c r="F27" s="17" t="s">
        <v>193</v>
      </c>
      <c r="G27" s="17" t="s">
        <v>194</v>
      </c>
      <c r="H27" s="17" t="s">
        <v>195</v>
      </c>
      <c r="I27" s="17"/>
      <c r="J27" s="17" t="s">
        <v>61</v>
      </c>
      <c r="K27" s="17"/>
      <c r="L27" s="19"/>
      <c r="M27" s="17" t="s">
        <v>94</v>
      </c>
    </row>
    <row r="28" ht="159" spans="1:13">
      <c r="A28" s="17" t="s">
        <v>196</v>
      </c>
      <c r="B28" s="17" t="s">
        <v>197</v>
      </c>
      <c r="C28" s="17" t="s">
        <v>31</v>
      </c>
      <c r="D28" s="17" t="s">
        <v>198</v>
      </c>
      <c r="E28" s="18" t="s">
        <v>71</v>
      </c>
      <c r="F28" s="17" t="s">
        <v>199</v>
      </c>
      <c r="G28" s="17" t="s">
        <v>200</v>
      </c>
      <c r="H28" s="17" t="s">
        <v>201</v>
      </c>
      <c r="I28" s="17"/>
      <c r="J28" s="17" t="s">
        <v>61</v>
      </c>
      <c r="K28" s="17"/>
      <c r="L28" s="19"/>
      <c r="M28" s="17" t="s">
        <v>124</v>
      </c>
    </row>
    <row r="29" ht="141" spans="1:13">
      <c r="A29" s="17" t="s">
        <v>202</v>
      </c>
      <c r="B29" s="17" t="s">
        <v>203</v>
      </c>
      <c r="C29" s="17" t="s">
        <v>31</v>
      </c>
      <c r="D29" s="17" t="s">
        <v>204</v>
      </c>
      <c r="E29" s="18" t="s">
        <v>71</v>
      </c>
      <c r="F29" s="17" t="s">
        <v>205</v>
      </c>
      <c r="G29" s="17" t="s">
        <v>206</v>
      </c>
      <c r="H29" s="17" t="s">
        <v>207</v>
      </c>
      <c r="I29" s="17"/>
      <c r="J29" s="17" t="s">
        <v>61</v>
      </c>
      <c r="K29" s="17"/>
      <c r="L29" s="19"/>
      <c r="M29" s="17" t="s">
        <v>94</v>
      </c>
    </row>
    <row r="30" ht="141" spans="1:13">
      <c r="A30" s="17" t="s">
        <v>208</v>
      </c>
      <c r="B30" s="17" t="s">
        <v>209</v>
      </c>
      <c r="C30" s="17" t="s">
        <v>31</v>
      </c>
      <c r="D30" s="17" t="s">
        <v>210</v>
      </c>
      <c r="E30" s="18" t="s">
        <v>211</v>
      </c>
      <c r="F30" s="17" t="s">
        <v>212</v>
      </c>
      <c r="G30" s="17" t="s">
        <v>213</v>
      </c>
      <c r="H30" s="17" t="s">
        <v>214</v>
      </c>
      <c r="I30" s="17"/>
      <c r="J30" s="17" t="s">
        <v>61</v>
      </c>
      <c r="K30" s="17"/>
      <c r="L30" s="19"/>
      <c r="M30" s="17" t="s">
        <v>153</v>
      </c>
    </row>
    <row r="31" ht="141" spans="1:13">
      <c r="A31" s="17" t="s">
        <v>215</v>
      </c>
      <c r="B31" s="17" t="s">
        <v>216</v>
      </c>
      <c r="C31" s="17" t="s">
        <v>31</v>
      </c>
      <c r="D31" s="17" t="s">
        <v>217</v>
      </c>
      <c r="E31" s="18" t="s">
        <v>57</v>
      </c>
      <c r="F31" s="17" t="s">
        <v>218</v>
      </c>
      <c r="G31" s="17" t="s">
        <v>219</v>
      </c>
      <c r="H31" s="17" t="s">
        <v>220</v>
      </c>
      <c r="I31" s="17"/>
      <c r="J31" s="17" t="s">
        <v>61</v>
      </c>
      <c r="K31" s="17"/>
      <c r="L31" s="19"/>
      <c r="M31" s="17" t="s">
        <v>124</v>
      </c>
    </row>
    <row r="32" ht="352" spans="1:13">
      <c r="A32" s="20" t="s">
        <v>221</v>
      </c>
      <c r="B32" s="20" t="s">
        <v>222</v>
      </c>
      <c r="C32" s="20" t="s">
        <v>36</v>
      </c>
      <c r="D32" s="20" t="s">
        <v>223</v>
      </c>
      <c r="E32" s="21" t="s">
        <v>57</v>
      </c>
      <c r="F32" s="20" t="s">
        <v>224</v>
      </c>
      <c r="G32" s="20" t="s">
        <v>225</v>
      </c>
      <c r="H32" s="20" t="s">
        <v>226</v>
      </c>
      <c r="I32" s="20"/>
      <c r="J32" s="17" t="s">
        <v>61</v>
      </c>
      <c r="K32" s="20"/>
      <c r="L32" s="22"/>
      <c r="M32" s="20"/>
    </row>
    <row r="33" ht="317" spans="1:13">
      <c r="A33" s="20" t="s">
        <v>227</v>
      </c>
      <c r="B33" s="20" t="s">
        <v>228</v>
      </c>
      <c r="C33" s="20" t="s">
        <v>36</v>
      </c>
      <c r="D33" s="20" t="s">
        <v>229</v>
      </c>
      <c r="E33" s="21" t="s">
        <v>57</v>
      </c>
      <c r="F33" s="20" t="s">
        <v>230</v>
      </c>
      <c r="G33" s="20" t="s">
        <v>231</v>
      </c>
      <c r="H33" s="20" t="s">
        <v>232</v>
      </c>
      <c r="I33" s="20"/>
      <c r="J33" s="17" t="s">
        <v>61</v>
      </c>
      <c r="K33" s="20"/>
      <c r="L33" s="22"/>
      <c r="M33" s="20"/>
    </row>
    <row r="34" ht="370" spans="1:13">
      <c r="A34" s="20" t="s">
        <v>233</v>
      </c>
      <c r="B34" s="20" t="s">
        <v>234</v>
      </c>
      <c r="C34" s="20" t="s">
        <v>36</v>
      </c>
      <c r="D34" s="20" t="s">
        <v>235</v>
      </c>
      <c r="E34" s="21" t="s">
        <v>57</v>
      </c>
      <c r="F34" s="20" t="s">
        <v>236</v>
      </c>
      <c r="G34" s="20" t="s">
        <v>237</v>
      </c>
      <c r="H34" s="20" t="s">
        <v>238</v>
      </c>
      <c r="I34" s="20"/>
      <c r="J34" s="17" t="s">
        <v>61</v>
      </c>
      <c r="K34" s="20"/>
      <c r="L34" s="22"/>
      <c r="M34" s="20"/>
    </row>
    <row r="35" ht="352" spans="1:13">
      <c r="A35" s="20" t="s">
        <v>239</v>
      </c>
      <c r="B35" s="20" t="s">
        <v>240</v>
      </c>
      <c r="C35" s="20" t="s">
        <v>36</v>
      </c>
      <c r="D35" s="20" t="s">
        <v>241</v>
      </c>
      <c r="E35" s="21" t="s">
        <v>71</v>
      </c>
      <c r="F35" s="20" t="s">
        <v>242</v>
      </c>
      <c r="G35" s="20" t="s">
        <v>243</v>
      </c>
      <c r="H35" s="20" t="s">
        <v>244</v>
      </c>
      <c r="I35" s="20"/>
      <c r="J35" s="17" t="s">
        <v>61</v>
      </c>
      <c r="K35" s="20"/>
      <c r="L35" s="22"/>
      <c r="M35" s="20"/>
    </row>
    <row r="36" ht="409.5" spans="1:13">
      <c r="A36" s="20" t="s">
        <v>245</v>
      </c>
      <c r="B36" s="20" t="s">
        <v>246</v>
      </c>
      <c r="C36" s="20" t="s">
        <v>36</v>
      </c>
      <c r="D36" s="20" t="s">
        <v>247</v>
      </c>
      <c r="E36" s="21" t="s">
        <v>71</v>
      </c>
      <c r="F36" s="20" t="s">
        <v>248</v>
      </c>
      <c r="G36" s="20" t="s">
        <v>249</v>
      </c>
      <c r="H36" s="20" t="s">
        <v>250</v>
      </c>
      <c r="I36" s="20"/>
      <c r="J36" s="17" t="s">
        <v>61</v>
      </c>
      <c r="K36" s="20"/>
      <c r="L36" s="22"/>
      <c r="M36" s="20"/>
    </row>
    <row r="37" ht="124" spans="1:13">
      <c r="A37" s="20" t="s">
        <v>251</v>
      </c>
      <c r="B37" s="20" t="s">
        <v>55</v>
      </c>
      <c r="C37" s="20" t="s">
        <v>31</v>
      </c>
      <c r="D37" s="20" t="s">
        <v>252</v>
      </c>
      <c r="E37" s="21" t="s">
        <v>57</v>
      </c>
      <c r="F37" s="20" t="s">
        <v>253</v>
      </c>
      <c r="G37" s="20" t="s">
        <v>254</v>
      </c>
      <c r="H37" s="20" t="s">
        <v>255</v>
      </c>
      <c r="I37" s="20"/>
      <c r="J37" s="17" t="s">
        <v>61</v>
      </c>
      <c r="K37" s="20"/>
      <c r="L37" s="22" t="s">
        <v>256</v>
      </c>
      <c r="M37" s="20"/>
    </row>
    <row r="38" ht="106" spans="1:13">
      <c r="A38" s="20" t="s">
        <v>257</v>
      </c>
      <c r="B38" s="20" t="s">
        <v>55</v>
      </c>
      <c r="C38" s="20" t="s">
        <v>31</v>
      </c>
      <c r="D38" s="20" t="s">
        <v>258</v>
      </c>
      <c r="E38" s="21" t="s">
        <v>71</v>
      </c>
      <c r="F38" s="20" t="s">
        <v>253</v>
      </c>
      <c r="G38" s="20" t="s">
        <v>259</v>
      </c>
      <c r="H38" s="20" t="s">
        <v>260</v>
      </c>
      <c r="I38" s="20"/>
      <c r="J38" s="17" t="s">
        <v>61</v>
      </c>
      <c r="K38" s="20"/>
      <c r="L38" s="22" t="s">
        <v>261</v>
      </c>
      <c r="M38" s="20"/>
    </row>
    <row r="39" ht="106" spans="1:13">
      <c r="A39" s="20" t="s">
        <v>262</v>
      </c>
      <c r="B39" s="20" t="s">
        <v>263</v>
      </c>
      <c r="C39" s="20" t="s">
        <v>32</v>
      </c>
      <c r="D39" s="20" t="s">
        <v>264</v>
      </c>
      <c r="E39" s="21" t="s">
        <v>57</v>
      </c>
      <c r="F39" s="20" t="s">
        <v>265</v>
      </c>
      <c r="G39" s="20" t="s">
        <v>266</v>
      </c>
      <c r="H39" s="20" t="s">
        <v>267</v>
      </c>
      <c r="I39" s="20"/>
      <c r="J39" s="17" t="s">
        <v>61</v>
      </c>
      <c r="K39" s="20"/>
      <c r="L39" s="22" t="s">
        <v>268</v>
      </c>
      <c r="M39" s="20"/>
    </row>
    <row r="40" ht="106" spans="1:13">
      <c r="A40" s="20" t="s">
        <v>269</v>
      </c>
      <c r="B40" s="20" t="s">
        <v>263</v>
      </c>
      <c r="C40" s="20" t="s">
        <v>32</v>
      </c>
      <c r="D40" s="20" t="s">
        <v>270</v>
      </c>
      <c r="E40" s="21" t="s">
        <v>57</v>
      </c>
      <c r="F40" s="20" t="s">
        <v>265</v>
      </c>
      <c r="G40" s="20" t="s">
        <v>271</v>
      </c>
      <c r="H40" s="20" t="s">
        <v>267</v>
      </c>
      <c r="I40" s="20"/>
      <c r="J40" s="17" t="s">
        <v>61</v>
      </c>
      <c r="K40" s="20"/>
      <c r="L40" s="22" t="s">
        <v>268</v>
      </c>
      <c r="M40" s="20"/>
    </row>
    <row r="41" ht="106" spans="1:13">
      <c r="A41" s="20" t="s">
        <v>272</v>
      </c>
      <c r="B41" s="20" t="s">
        <v>263</v>
      </c>
      <c r="C41" s="20" t="s">
        <v>32</v>
      </c>
      <c r="D41" s="20" t="s">
        <v>273</v>
      </c>
      <c r="E41" s="21" t="s">
        <v>57</v>
      </c>
      <c r="F41" s="20" t="s">
        <v>265</v>
      </c>
      <c r="G41" s="20" t="s">
        <v>274</v>
      </c>
      <c r="H41" s="20" t="s">
        <v>267</v>
      </c>
      <c r="I41" s="20"/>
      <c r="J41" s="17" t="s">
        <v>61</v>
      </c>
      <c r="K41" s="20"/>
      <c r="L41" s="22" t="s">
        <v>268</v>
      </c>
      <c r="M41" s="20"/>
    </row>
    <row r="42" ht="124" spans="1:13">
      <c r="A42" s="20" t="s">
        <v>275</v>
      </c>
      <c r="B42" s="20" t="s">
        <v>276</v>
      </c>
      <c r="C42" s="20" t="s">
        <v>33</v>
      </c>
      <c r="D42" s="20" t="s">
        <v>277</v>
      </c>
      <c r="E42" s="21" t="s">
        <v>57</v>
      </c>
      <c r="F42" s="20" t="s">
        <v>278</v>
      </c>
      <c r="G42" s="20" t="s">
        <v>279</v>
      </c>
      <c r="H42" s="20" t="s">
        <v>280</v>
      </c>
      <c r="I42" s="20"/>
      <c r="J42" s="17" t="s">
        <v>61</v>
      </c>
      <c r="K42" s="20"/>
      <c r="L42" s="22"/>
      <c r="M42" s="20"/>
    </row>
    <row r="43" ht="124" spans="1:13">
      <c r="A43" s="20" t="s">
        <v>281</v>
      </c>
      <c r="B43" s="20" t="s">
        <v>282</v>
      </c>
      <c r="C43" s="20" t="s">
        <v>33</v>
      </c>
      <c r="D43" s="20" t="s">
        <v>283</v>
      </c>
      <c r="E43" s="21" t="s">
        <v>57</v>
      </c>
      <c r="F43" s="20" t="s">
        <v>278</v>
      </c>
      <c r="G43" s="20" t="s">
        <v>284</v>
      </c>
      <c r="H43" s="20" t="s">
        <v>285</v>
      </c>
      <c r="I43" s="20"/>
      <c r="J43" s="17" t="s">
        <v>61</v>
      </c>
      <c r="K43" s="20"/>
      <c r="L43" s="22"/>
      <c r="M43" s="20"/>
    </row>
    <row r="44" ht="106" spans="1:13">
      <c r="A44" s="20" t="s">
        <v>286</v>
      </c>
      <c r="B44" s="20" t="s">
        <v>216</v>
      </c>
      <c r="C44" s="20" t="s">
        <v>34</v>
      </c>
      <c r="D44" s="20" t="s">
        <v>287</v>
      </c>
      <c r="E44" s="21" t="s">
        <v>57</v>
      </c>
      <c r="F44" s="20" t="s">
        <v>278</v>
      </c>
      <c r="G44" s="20" t="s">
        <v>288</v>
      </c>
      <c r="H44" s="20" t="s">
        <v>289</v>
      </c>
      <c r="I44" s="20"/>
      <c r="J44" s="17" t="s">
        <v>61</v>
      </c>
      <c r="K44" s="20"/>
      <c r="L44" s="22"/>
      <c r="M44" s="20"/>
    </row>
    <row r="45" ht="159" spans="1:13">
      <c r="A45" s="20" t="s">
        <v>290</v>
      </c>
      <c r="B45" s="20" t="s">
        <v>291</v>
      </c>
      <c r="C45" s="20" t="s">
        <v>34</v>
      </c>
      <c r="D45" s="20" t="s">
        <v>292</v>
      </c>
      <c r="E45" s="21" t="s">
        <v>57</v>
      </c>
      <c r="F45" s="20" t="s">
        <v>278</v>
      </c>
      <c r="G45" s="20" t="s">
        <v>293</v>
      </c>
      <c r="H45" s="20" t="s">
        <v>294</v>
      </c>
      <c r="I45" s="20"/>
      <c r="J45" s="17" t="s">
        <v>61</v>
      </c>
      <c r="K45" s="20"/>
      <c r="L45" s="22"/>
      <c r="M45" s="20"/>
    </row>
    <row r="46" ht="176" spans="1:13">
      <c r="A46" s="20" t="s">
        <v>295</v>
      </c>
      <c r="B46" s="20" t="s">
        <v>296</v>
      </c>
      <c r="C46" s="20" t="s">
        <v>35</v>
      </c>
      <c r="D46" s="20" t="s">
        <v>297</v>
      </c>
      <c r="E46" s="21" t="s">
        <v>57</v>
      </c>
      <c r="F46" s="20" t="s">
        <v>278</v>
      </c>
      <c r="G46" s="20" t="s">
        <v>298</v>
      </c>
      <c r="H46" s="20" t="s">
        <v>299</v>
      </c>
      <c r="I46" s="20"/>
      <c r="J46" s="17" t="s">
        <v>61</v>
      </c>
      <c r="K46" s="20"/>
      <c r="L46" s="22"/>
      <c r="M46" s="20"/>
    </row>
    <row r="47" ht="229" spans="1:13">
      <c r="A47" s="23" t="s">
        <v>300</v>
      </c>
      <c r="B47" s="23" t="s">
        <v>301</v>
      </c>
      <c r="C47" s="23" t="s">
        <v>35</v>
      </c>
      <c r="D47" s="23" t="s">
        <v>302</v>
      </c>
      <c r="E47" s="24" t="s">
        <v>57</v>
      </c>
      <c r="F47" s="23" t="s">
        <v>303</v>
      </c>
      <c r="G47" s="23" t="s">
        <v>304</v>
      </c>
      <c r="H47" s="23" t="s">
        <v>305</v>
      </c>
      <c r="I47" s="20"/>
      <c r="J47" s="17" t="s">
        <v>61</v>
      </c>
      <c r="K47" s="20"/>
      <c r="L47" s="22"/>
      <c r="M47" s="20"/>
    </row>
    <row r="48" ht="247" spans="1:13">
      <c r="A48" s="23" t="s">
        <v>306</v>
      </c>
      <c r="B48" s="23" t="s">
        <v>301</v>
      </c>
      <c r="C48" s="23" t="s">
        <v>35</v>
      </c>
      <c r="D48" s="23" t="s">
        <v>307</v>
      </c>
      <c r="E48" s="24" t="s">
        <v>57</v>
      </c>
      <c r="F48" s="23" t="s">
        <v>308</v>
      </c>
      <c r="G48" s="23" t="s">
        <v>309</v>
      </c>
      <c r="H48" s="23" t="s">
        <v>310</v>
      </c>
      <c r="I48" s="20"/>
      <c r="J48" s="17" t="s">
        <v>61</v>
      </c>
      <c r="K48" s="20"/>
      <c r="L48" s="22"/>
      <c r="M48" s="20"/>
    </row>
    <row r="49" ht="212" spans="1:13">
      <c r="A49" s="23" t="s">
        <v>311</v>
      </c>
      <c r="B49" s="23" t="s">
        <v>301</v>
      </c>
      <c r="C49" s="23" t="s">
        <v>35</v>
      </c>
      <c r="D49" s="23" t="s">
        <v>312</v>
      </c>
      <c r="E49" s="24" t="s">
        <v>57</v>
      </c>
      <c r="F49" s="23" t="s">
        <v>313</v>
      </c>
      <c r="G49" s="23" t="s">
        <v>314</v>
      </c>
      <c r="H49" s="23" t="s">
        <v>315</v>
      </c>
      <c r="I49" s="20"/>
      <c r="J49" s="17" t="s">
        <v>61</v>
      </c>
      <c r="K49" s="20"/>
      <c r="L49" s="22"/>
      <c r="M49" s="20"/>
    </row>
    <row r="50" ht="229" spans="1:13">
      <c r="A50" s="23" t="s">
        <v>316</v>
      </c>
      <c r="B50" s="23" t="s">
        <v>317</v>
      </c>
      <c r="C50" s="23" t="s">
        <v>35</v>
      </c>
      <c r="D50" s="23" t="s">
        <v>318</v>
      </c>
      <c r="E50" s="24" t="s">
        <v>57</v>
      </c>
      <c r="F50" s="23" t="s">
        <v>319</v>
      </c>
      <c r="G50" s="23" t="s">
        <v>320</v>
      </c>
      <c r="H50" s="23" t="s">
        <v>321</v>
      </c>
      <c r="I50" s="20"/>
      <c r="J50" s="17" t="s">
        <v>61</v>
      </c>
      <c r="K50" s="20"/>
      <c r="L50" s="22" t="s">
        <v>268</v>
      </c>
      <c r="M50" s="20"/>
    </row>
    <row r="51" ht="212" spans="1:13">
      <c r="A51" s="23" t="s">
        <v>322</v>
      </c>
      <c r="B51" s="23" t="s">
        <v>323</v>
      </c>
      <c r="C51" s="23" t="s">
        <v>35</v>
      </c>
      <c r="D51" s="23" t="s">
        <v>324</v>
      </c>
      <c r="E51" s="24" t="s">
        <v>57</v>
      </c>
      <c r="F51" s="23" t="s">
        <v>325</v>
      </c>
      <c r="G51" s="23" t="s">
        <v>326</v>
      </c>
      <c r="H51" s="23" t="s">
        <v>327</v>
      </c>
      <c r="I51" s="20"/>
      <c r="J51" s="17" t="s">
        <v>61</v>
      </c>
      <c r="K51" s="20"/>
      <c r="L51" s="22" t="s">
        <v>268</v>
      </c>
      <c r="M51" s="20"/>
    </row>
    <row r="52" ht="212" spans="1:13">
      <c r="A52" s="23" t="s">
        <v>328</v>
      </c>
      <c r="B52" s="23" t="s">
        <v>329</v>
      </c>
      <c r="C52" s="23" t="s">
        <v>35</v>
      </c>
      <c r="D52" s="23" t="s">
        <v>330</v>
      </c>
      <c r="E52" s="24" t="s">
        <v>57</v>
      </c>
      <c r="F52" s="23" t="s">
        <v>331</v>
      </c>
      <c r="G52" s="23" t="s">
        <v>332</v>
      </c>
      <c r="H52" s="23" t="s">
        <v>333</v>
      </c>
      <c r="J52" s="17" t="s">
        <v>61</v>
      </c>
    </row>
    <row r="53" ht="264" spans="1:13">
      <c r="A53" s="23" t="s">
        <v>334</v>
      </c>
      <c r="B53" s="23" t="s">
        <v>335</v>
      </c>
      <c r="C53" s="23" t="s">
        <v>35</v>
      </c>
      <c r="D53" s="23" t="s">
        <v>336</v>
      </c>
      <c r="E53" s="24" t="s">
        <v>71</v>
      </c>
      <c r="F53" s="23" t="s">
        <v>337</v>
      </c>
      <c r="G53" s="23" t="s">
        <v>338</v>
      </c>
      <c r="H53" s="23" t="s">
        <v>339</v>
      </c>
      <c r="J53" s="17" t="s">
        <v>61</v>
      </c>
    </row>
    <row r="54" ht="282.75" spans="1:13">
      <c r="A54" s="23" t="s">
        <v>340</v>
      </c>
      <c r="B54" s="23" t="s">
        <v>341</v>
      </c>
      <c r="C54" s="23" t="s">
        <v>35</v>
      </c>
      <c r="D54" s="23" t="s">
        <v>342</v>
      </c>
      <c r="E54" s="24" t="s">
        <v>71</v>
      </c>
      <c r="F54" s="23" t="s">
        <v>343</v>
      </c>
      <c r="G54" s="23" t="s">
        <v>344</v>
      </c>
      <c r="H54" s="23" t="s">
        <v>345</v>
      </c>
      <c r="J54" s="17" t="s">
        <v>61</v>
      </c>
    </row>
    <row r="55" ht="176.75" spans="1:13">
      <c r="A55" s="25" t="s">
        <v>346</v>
      </c>
      <c r="B55" s="25" t="s">
        <v>347</v>
      </c>
      <c r="C55" s="25" t="s">
        <v>348</v>
      </c>
      <c r="D55" s="25" t="s">
        <v>349</v>
      </c>
      <c r="E55" s="25" t="s">
        <v>57</v>
      </c>
      <c r="F55" s="25" t="s">
        <v>350</v>
      </c>
      <c r="G55" s="25" t="s">
        <v>351</v>
      </c>
      <c r="H55" s="25" t="s">
        <v>352</v>
      </c>
      <c r="I55" s="26"/>
      <c r="J55" s="17" t="s">
        <v>61</v>
      </c>
      <c r="K55" s="26"/>
      <c r="L55" s="27" t="s">
        <v>256</v>
      </c>
      <c r="M55" s="28"/>
    </row>
    <row r="56" ht="229.75" spans="1:13">
      <c r="A56" s="25" t="s">
        <v>353</v>
      </c>
      <c r="B56" s="25" t="s">
        <v>354</v>
      </c>
      <c r="C56" s="25" t="s">
        <v>348</v>
      </c>
      <c r="D56" s="25" t="s">
        <v>355</v>
      </c>
      <c r="E56" s="25" t="s">
        <v>57</v>
      </c>
      <c r="F56" s="25" t="s">
        <v>356</v>
      </c>
      <c r="G56" s="25" t="s">
        <v>357</v>
      </c>
      <c r="H56" s="25" t="s">
        <v>358</v>
      </c>
      <c r="I56" s="29"/>
      <c r="J56" s="17" t="s">
        <v>61</v>
      </c>
      <c r="K56" s="29"/>
      <c r="L56" s="30" t="s">
        <v>261</v>
      </c>
      <c r="M56" s="31"/>
    </row>
    <row r="57" ht="212.75" spans="1:13">
      <c r="A57" s="25" t="s">
        <v>359</v>
      </c>
      <c r="B57" s="25" t="s">
        <v>360</v>
      </c>
      <c r="C57" s="25" t="s">
        <v>348</v>
      </c>
      <c r="D57" s="25" t="s">
        <v>361</v>
      </c>
      <c r="E57" s="25" t="s">
        <v>57</v>
      </c>
      <c r="F57" s="25" t="s">
        <v>362</v>
      </c>
      <c r="G57" s="25" t="s">
        <v>363</v>
      </c>
      <c r="H57" s="25" t="s">
        <v>364</v>
      </c>
      <c r="I57" s="29"/>
      <c r="J57" s="17" t="s">
        <v>61</v>
      </c>
      <c r="K57" s="29"/>
      <c r="L57" s="30" t="s">
        <v>268</v>
      </c>
      <c r="M57" s="31"/>
    </row>
    <row r="58" ht="212.75" spans="1:13">
      <c r="A58" s="25" t="s">
        <v>365</v>
      </c>
      <c r="B58" s="25" t="s">
        <v>119</v>
      </c>
      <c r="C58" s="25" t="s">
        <v>348</v>
      </c>
      <c r="D58" s="25" t="s">
        <v>366</v>
      </c>
      <c r="E58" s="25" t="s">
        <v>57</v>
      </c>
      <c r="F58" s="25" t="s">
        <v>367</v>
      </c>
      <c r="G58" s="25" t="s">
        <v>368</v>
      </c>
      <c r="H58" s="25" t="s">
        <v>369</v>
      </c>
      <c r="I58" s="29"/>
      <c r="J58" s="17" t="s">
        <v>61</v>
      </c>
      <c r="K58" s="29"/>
      <c r="L58" s="30" t="s">
        <v>268</v>
      </c>
      <c r="M58" s="31"/>
    </row>
    <row r="59" ht="229.75" spans="1:13">
      <c r="A59" s="25" t="s">
        <v>370</v>
      </c>
      <c r="B59" s="25" t="s">
        <v>113</v>
      </c>
      <c r="C59" s="25" t="s">
        <v>348</v>
      </c>
      <c r="D59" s="25" t="s">
        <v>371</v>
      </c>
      <c r="E59" s="25" t="s">
        <v>57</v>
      </c>
      <c r="F59" s="25" t="s">
        <v>372</v>
      </c>
      <c r="G59" s="25" t="s">
        <v>373</v>
      </c>
      <c r="H59" s="25" t="s">
        <v>374</v>
      </c>
      <c r="I59" s="29"/>
      <c r="J59" s="17" t="s">
        <v>61</v>
      </c>
      <c r="K59" s="29"/>
      <c r="L59" s="30" t="s">
        <v>268</v>
      </c>
      <c r="M59" s="31"/>
    </row>
    <row r="60" ht="264.75" spans="1:13">
      <c r="A60" s="25" t="s">
        <v>375</v>
      </c>
      <c r="B60" s="25" t="s">
        <v>376</v>
      </c>
      <c r="C60" s="25" t="s">
        <v>348</v>
      </c>
      <c r="D60" s="25" t="s">
        <v>377</v>
      </c>
      <c r="E60" s="25" t="s">
        <v>71</v>
      </c>
      <c r="F60" s="25" t="s">
        <v>378</v>
      </c>
      <c r="G60" s="25" t="s">
        <v>379</v>
      </c>
      <c r="H60" s="25" t="s">
        <v>380</v>
      </c>
      <c r="I60" s="29"/>
      <c r="J60" s="17" t="s">
        <v>61</v>
      </c>
      <c r="K60" s="29"/>
      <c r="L60" s="30"/>
      <c r="M60" s="31"/>
    </row>
    <row r="61" ht="300.75" spans="1:13">
      <c r="A61" s="25" t="s">
        <v>381</v>
      </c>
      <c r="B61" s="25" t="s">
        <v>131</v>
      </c>
      <c r="C61" s="25" t="s">
        <v>382</v>
      </c>
      <c r="D61" s="25" t="s">
        <v>383</v>
      </c>
      <c r="E61" s="25" t="s">
        <v>57</v>
      </c>
      <c r="F61" s="25" t="s">
        <v>384</v>
      </c>
      <c r="G61" s="25" t="s">
        <v>385</v>
      </c>
      <c r="H61" s="25" t="s">
        <v>386</v>
      </c>
      <c r="I61" s="29"/>
      <c r="J61" s="17" t="s">
        <v>61</v>
      </c>
      <c r="K61" s="29"/>
      <c r="L61" s="30"/>
      <c r="M61" s="31"/>
    </row>
    <row r="62" ht="229.75" spans="1:13">
      <c r="A62" s="25" t="s">
        <v>387</v>
      </c>
      <c r="B62" s="25" t="s">
        <v>137</v>
      </c>
      <c r="C62" s="25" t="s">
        <v>348</v>
      </c>
      <c r="D62" s="25" t="s">
        <v>388</v>
      </c>
      <c r="E62" s="25" t="s">
        <v>71</v>
      </c>
      <c r="F62" s="25" t="s">
        <v>389</v>
      </c>
      <c r="G62" s="25" t="s">
        <v>390</v>
      </c>
      <c r="H62" s="25" t="s">
        <v>391</v>
      </c>
      <c r="I62" s="29"/>
      <c r="J62" s="17" t="s">
        <v>61</v>
      </c>
      <c r="K62" s="29"/>
      <c r="L62" s="30"/>
      <c r="M62" s="31"/>
    </row>
    <row r="63" ht="247.75" spans="1:13">
      <c r="A63" s="25" t="s">
        <v>392</v>
      </c>
      <c r="B63" s="25" t="s">
        <v>393</v>
      </c>
      <c r="C63" s="25" t="s">
        <v>394</v>
      </c>
      <c r="D63" s="25" t="s">
        <v>395</v>
      </c>
      <c r="E63" s="25" t="s">
        <v>57</v>
      </c>
      <c r="F63" s="25" t="s">
        <v>396</v>
      </c>
      <c r="G63" s="25" t="s">
        <v>397</v>
      </c>
      <c r="H63" s="25" t="s">
        <v>398</v>
      </c>
      <c r="I63" s="29"/>
      <c r="J63" s="17" t="s">
        <v>61</v>
      </c>
      <c r="K63" s="29"/>
      <c r="L63" s="30"/>
      <c r="M63" s="31"/>
    </row>
    <row r="64" ht="264.75" spans="1:13">
      <c r="A64" s="25" t="s">
        <v>399</v>
      </c>
      <c r="B64" s="25" t="s">
        <v>185</v>
      </c>
      <c r="C64" s="25" t="s">
        <v>348</v>
      </c>
      <c r="D64" s="25" t="s">
        <v>400</v>
      </c>
      <c r="E64" s="25" t="s">
        <v>71</v>
      </c>
      <c r="F64" s="25" t="s">
        <v>401</v>
      </c>
      <c r="G64" s="25" t="s">
        <v>402</v>
      </c>
      <c r="H64" s="25" t="s">
        <v>403</v>
      </c>
      <c r="I64" s="29"/>
      <c r="J64" s="17" t="s">
        <v>61</v>
      </c>
      <c r="K64" s="29"/>
      <c r="L64" s="30"/>
      <c r="M64" s="31"/>
    </row>
    <row r="65" ht="264.75" spans="1:13">
      <c r="A65" s="25" t="s">
        <v>404</v>
      </c>
      <c r="B65" s="25" t="s">
        <v>191</v>
      </c>
      <c r="C65" s="25" t="s">
        <v>348</v>
      </c>
      <c r="D65" s="25" t="s">
        <v>405</v>
      </c>
      <c r="E65" s="25" t="s">
        <v>71</v>
      </c>
      <c r="F65" s="25" t="s">
        <v>406</v>
      </c>
      <c r="G65" s="25" t="s">
        <v>407</v>
      </c>
      <c r="H65" s="25" t="s">
        <v>408</v>
      </c>
      <c r="I65" s="29"/>
      <c r="J65" s="17" t="s">
        <v>61</v>
      </c>
      <c r="K65" s="29"/>
      <c r="L65" s="30"/>
      <c r="M65" s="31"/>
    </row>
    <row r="66" ht="247.75" spans="1:13">
      <c r="A66" s="25" t="s">
        <v>409</v>
      </c>
      <c r="B66" s="25" t="s">
        <v>410</v>
      </c>
      <c r="C66" s="25" t="s">
        <v>411</v>
      </c>
      <c r="D66" s="25" t="s">
        <v>412</v>
      </c>
      <c r="E66" s="25" t="s">
        <v>57</v>
      </c>
      <c r="F66" s="25" t="s">
        <v>413</v>
      </c>
      <c r="G66" s="25" t="s">
        <v>414</v>
      </c>
      <c r="H66" s="25" t="s">
        <v>415</v>
      </c>
      <c r="I66" s="29"/>
      <c r="J66" s="17" t="s">
        <v>61</v>
      </c>
      <c r="K66" s="29"/>
      <c r="L66" s="30"/>
      <c r="M66" s="31"/>
    </row>
    <row r="67" ht="247.75" spans="1:13">
      <c r="A67" s="25" t="s">
        <v>416</v>
      </c>
      <c r="B67" s="25" t="s">
        <v>417</v>
      </c>
      <c r="C67" s="25" t="s">
        <v>418</v>
      </c>
      <c r="D67" s="25" t="s">
        <v>419</v>
      </c>
      <c r="E67" s="25" t="s">
        <v>57</v>
      </c>
      <c r="F67" s="25" t="s">
        <v>420</v>
      </c>
      <c r="G67" s="25" t="s">
        <v>421</v>
      </c>
      <c r="H67" s="25" t="s">
        <v>422</v>
      </c>
      <c r="I67" s="29"/>
      <c r="J67" s="17" t="s">
        <v>61</v>
      </c>
      <c r="K67" s="29"/>
      <c r="L67" s="30"/>
      <c r="M67" s="31"/>
    </row>
    <row r="68" ht="247.75" spans="1:13">
      <c r="A68" s="25" t="s">
        <v>423</v>
      </c>
      <c r="B68" s="25" t="s">
        <v>424</v>
      </c>
      <c r="C68" s="25" t="s">
        <v>425</v>
      </c>
      <c r="D68" s="25" t="s">
        <v>426</v>
      </c>
      <c r="E68" s="25" t="s">
        <v>57</v>
      </c>
      <c r="F68" s="25" t="s">
        <v>427</v>
      </c>
      <c r="G68" s="25" t="s">
        <v>428</v>
      </c>
      <c r="H68" s="25" t="s">
        <v>429</v>
      </c>
      <c r="I68" s="29"/>
      <c r="J68" s="17" t="s">
        <v>61</v>
      </c>
      <c r="K68" s="29"/>
      <c r="L68" s="30" t="s">
        <v>268</v>
      </c>
      <c r="M68" s="31"/>
    </row>
    <row r="69" ht="247.75" spans="1:13">
      <c r="A69" s="25" t="s">
        <v>430</v>
      </c>
      <c r="B69" s="25" t="s">
        <v>431</v>
      </c>
      <c r="C69" s="25" t="s">
        <v>432</v>
      </c>
      <c r="D69" s="25" t="s">
        <v>433</v>
      </c>
      <c r="E69" s="25" t="s">
        <v>71</v>
      </c>
      <c r="F69" s="25" t="s">
        <v>434</v>
      </c>
      <c r="G69" s="25" t="s">
        <v>435</v>
      </c>
      <c r="H69" s="25" t="s">
        <v>436</v>
      </c>
      <c r="I69" s="29"/>
      <c r="J69" s="17" t="s">
        <v>61</v>
      </c>
      <c r="K69" s="29"/>
      <c r="L69" s="30" t="s">
        <v>268</v>
      </c>
      <c r="M69" s="31"/>
    </row>
    <row r="70" ht="317.75" spans="1:13">
      <c r="A70" s="25" t="s">
        <v>437</v>
      </c>
      <c r="B70" s="25" t="s">
        <v>438</v>
      </c>
      <c r="C70" s="25" t="s">
        <v>439</v>
      </c>
      <c r="D70" s="25" t="s">
        <v>440</v>
      </c>
      <c r="E70" s="25" t="s">
        <v>71</v>
      </c>
      <c r="F70" s="25" t="s">
        <v>441</v>
      </c>
      <c r="G70" s="25" t="s">
        <v>442</v>
      </c>
      <c r="H70" s="25" t="s">
        <v>443</v>
      </c>
      <c r="I70" s="32"/>
      <c r="J70" s="17" t="s">
        <v>61</v>
      </c>
      <c r="K70" s="32"/>
      <c r="L70" s="33"/>
      <c r="M70" s="34"/>
    </row>
  </sheetData>
  <mergeCells count="1">
    <mergeCell ref="A1:M3"/>
  </mergeCells>
  <dataValidations count="5">
    <dataValidation type="list" allowBlank="1" showInputMessage="1" showErrorMessage="1" sqref="J4">
      <formula1>$W$5:$W$5</formula1>
    </dataValidation>
    <dataValidation type="list" allowBlank="1" showInputMessage="1" showErrorMessage="1" sqref="C1:C54 C71:C1048576">
      <formula1>"功能测试,性能测试,可靠性测试,安全性测试,兼容性测试,易用性测试,部署测试"</formula1>
    </dataValidation>
    <dataValidation type="list" allowBlank="1" showInputMessage="1" showErrorMessage="1" sqref="E5:E54">
      <formula1>"高,中,低"</formula1>
    </dataValidation>
    <dataValidation type="list" allowBlank="1" showInputMessage="1" showErrorMessage="1" sqref="J5:J64560">
      <formula1>"Y,N"</formula1>
    </dataValidation>
    <dataValidation type="list" allowBlank="1" showInputMessage="1" showErrorMessage="1" sqref="K5:K51 K55:K69">
      <formula1>"Null(无缺陷),Urgent(严重错误),High(主要错误),Medium(一般错误),Low(微小错误)"</formula1>
    </dataValidation>
  </dataValidations>
  <pageMargins left="0.75" right="0.75" top="1" bottom="1" header="0.5" footer="0.5"/>
  <pageSetup paperSize="9" orientation="portrait" horizontalDpi="1200" verticalDpi="1200"/>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zoomScale="90" zoomScaleNormal="90" workbookViewId="0">
      <selection activeCell="B7" sqref="B7"/>
    </sheetView>
  </sheetViews>
  <sheetFormatPr defaultColWidth="9" defaultRowHeight="15.6" outlineLevelRow="7" outlineLevelCol="1"/>
  <cols>
    <col min="1" max="1" width="17" style="1" customWidth="1"/>
    <col min="2" max="2" width="76.6071428571429" style="1" customWidth="1"/>
    <col min="3" max="16384" width="9" style="1"/>
  </cols>
  <sheetData>
    <row r="1" ht="20.45" customHeight="1" spans="1:2">
      <c r="A1" s="2" t="s">
        <v>444</v>
      </c>
      <c r="B1" s="3" t="s">
        <v>445</v>
      </c>
    </row>
    <row r="2" ht="36.35" customHeight="1" spans="1:2">
      <c r="A2" s="4" t="s">
        <v>31</v>
      </c>
      <c r="B2" s="5" t="s">
        <v>446</v>
      </c>
    </row>
    <row r="3" ht="47" spans="1:2">
      <c r="A3" s="6" t="s">
        <v>32</v>
      </c>
      <c r="B3" s="5" t="s">
        <v>447</v>
      </c>
    </row>
    <row r="4" ht="49.85" customHeight="1" spans="1:2">
      <c r="A4" s="6" t="s">
        <v>33</v>
      </c>
      <c r="B4" s="5" t="s">
        <v>448</v>
      </c>
    </row>
    <row r="5" ht="78" spans="1:2">
      <c r="A5" s="6" t="s">
        <v>34</v>
      </c>
      <c r="B5" s="5" t="s">
        <v>449</v>
      </c>
    </row>
    <row r="6" ht="47" spans="1:2">
      <c r="A6" s="6" t="s">
        <v>35</v>
      </c>
      <c r="B6" s="5" t="s">
        <v>450</v>
      </c>
    </row>
    <row r="7" ht="78" spans="1:2">
      <c r="A7" s="6" t="s">
        <v>36</v>
      </c>
      <c r="B7" s="5" t="s">
        <v>451</v>
      </c>
    </row>
    <row r="8" ht="17.6" spans="1:2">
      <c r="A8" s="6" t="s">
        <v>37</v>
      </c>
      <c r="B8" s="5" t="s">
        <v>452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Information</vt:lpstr>
      <vt:lpstr>Test Cases</vt:lpstr>
      <vt:lpstr>常用测试方法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bjshen</dc:creator>
  <cp:lastModifiedBy>Connor Anderson</cp:lastModifiedBy>
  <dcterms:created xsi:type="dcterms:W3CDTF">2012-04-22T07:17:00Z</dcterms:created>
  <dcterms:modified xsi:type="dcterms:W3CDTF">2026-07-28T11:08:19Z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2052-12.1.26035.26035</vt:lpwstr>
  </property>
  <property fmtid="{D5CDD505-2E9C-101B-9397-08002B2CF9AE}" pid="3" name="CalculationRule">
    <vt:i4>0</vt:i4>
  </property>
  <property fmtid="{D5CDD505-2E9C-101B-9397-08002B2CF9AE}" pid="4" name="ICV">
    <vt:lpwstr>F88B70A1A6026EDD1F10686AE6AC2896_43</vt:lpwstr>
  </property>
</Properties>
</file>